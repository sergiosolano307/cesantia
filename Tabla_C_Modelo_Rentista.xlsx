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21025a267e61578/claudita/reconstituido/Nueva carpeta/con color/rerecorreccion/"/>
    </mc:Choice>
  </mc:AlternateContent>
  <xr:revisionPtr revIDLastSave="0" documentId="8_{554121D5-B78B-41D4-92E0-EBD14D83ABEC}" xr6:coauthVersionLast="47" xr6:coauthVersionMax="47" xr10:uidLastSave="{00000000-0000-0000-0000-000000000000}"/>
  <bookViews>
    <workbookView xWindow="-120" yWindow="-120" windowWidth="20730" windowHeight="11040" tabRatio="500" firstSheet="1" activeTab="1" xr2:uid="{00000000-000D-0000-FFFF-FFFF00000000}"/>
  </bookViews>
  <sheets>
    <sheet name="1.Supuestos" sheetId="1" r:id="rId1"/>
    <sheet name="2.Tabla C (30 años)" sheetId="2" r:id="rId2"/>
    <sheet name="3.Comparación Tabla A" sheetId="3" r:id="rId3"/>
    <sheet name="4.Metodologí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5" i="2" l="1"/>
  <c r="O35" i="2"/>
  <c r="M35" i="2"/>
  <c r="I35" i="2"/>
  <c r="H35" i="2"/>
  <c r="G35" i="2"/>
  <c r="F35" i="2"/>
  <c r="E35" i="2"/>
  <c r="D35" i="2"/>
  <c r="J35" i="2" s="1"/>
  <c r="B35" i="2"/>
  <c r="C35" i="2" s="1"/>
  <c r="P34" i="2"/>
  <c r="O34" i="2"/>
  <c r="M34" i="2"/>
  <c r="I34" i="2"/>
  <c r="H34" i="2"/>
  <c r="G34" i="2"/>
  <c r="F34" i="2"/>
  <c r="E34" i="2"/>
  <c r="D34" i="2"/>
  <c r="J34" i="2" s="1"/>
  <c r="B34" i="2"/>
  <c r="C34" i="2" s="1"/>
  <c r="P33" i="2"/>
  <c r="O33" i="2"/>
  <c r="M33" i="2"/>
  <c r="I33" i="2"/>
  <c r="H33" i="2"/>
  <c r="G33" i="2"/>
  <c r="F33" i="2"/>
  <c r="E33" i="2"/>
  <c r="D33" i="2"/>
  <c r="J33" i="2" s="1"/>
  <c r="B33" i="2"/>
  <c r="C33" i="2" s="1"/>
  <c r="P32" i="2"/>
  <c r="O32" i="2"/>
  <c r="M32" i="2"/>
  <c r="I32" i="2"/>
  <c r="H32" i="2"/>
  <c r="G32" i="2"/>
  <c r="F32" i="2"/>
  <c r="E32" i="2"/>
  <c r="D32" i="2"/>
  <c r="J32" i="2" s="1"/>
  <c r="B32" i="2"/>
  <c r="C32" i="2" s="1"/>
  <c r="P31" i="2"/>
  <c r="O31" i="2"/>
  <c r="M31" i="2"/>
  <c r="I31" i="2"/>
  <c r="H31" i="2"/>
  <c r="G31" i="2"/>
  <c r="F31" i="2"/>
  <c r="E31" i="2"/>
  <c r="D31" i="2"/>
  <c r="J31" i="2" s="1"/>
  <c r="B31" i="2"/>
  <c r="C31" i="2" s="1"/>
  <c r="P30" i="2"/>
  <c r="O30" i="2"/>
  <c r="M30" i="2"/>
  <c r="I30" i="2"/>
  <c r="H30" i="2"/>
  <c r="G30" i="2"/>
  <c r="F30" i="2"/>
  <c r="E30" i="2"/>
  <c r="D30" i="2"/>
  <c r="J30" i="2" s="1"/>
  <c r="B30" i="2"/>
  <c r="C30" i="2" s="1"/>
  <c r="P29" i="2"/>
  <c r="O29" i="2"/>
  <c r="M29" i="2"/>
  <c r="I29" i="2"/>
  <c r="H29" i="2"/>
  <c r="G29" i="2"/>
  <c r="F29" i="2"/>
  <c r="E29" i="2"/>
  <c r="D29" i="2"/>
  <c r="J29" i="2" s="1"/>
  <c r="B29" i="2"/>
  <c r="C29" i="2" s="1"/>
  <c r="P28" i="2"/>
  <c r="O28" i="2"/>
  <c r="M28" i="2"/>
  <c r="I28" i="2"/>
  <c r="H28" i="2"/>
  <c r="G28" i="2"/>
  <c r="F28" i="2"/>
  <c r="E28" i="2"/>
  <c r="D28" i="2"/>
  <c r="J28" i="2" s="1"/>
  <c r="B28" i="2"/>
  <c r="C28" i="2" s="1"/>
  <c r="P27" i="2"/>
  <c r="O27" i="2"/>
  <c r="M27" i="2"/>
  <c r="I27" i="2"/>
  <c r="H27" i="2"/>
  <c r="G27" i="2"/>
  <c r="F27" i="2"/>
  <c r="E27" i="2"/>
  <c r="D27" i="2"/>
  <c r="J27" i="2" s="1"/>
  <c r="B27" i="2"/>
  <c r="C27" i="2" s="1"/>
  <c r="P26" i="2"/>
  <c r="O26" i="2"/>
  <c r="M26" i="2"/>
  <c r="I26" i="2"/>
  <c r="H26" i="2"/>
  <c r="G26" i="2"/>
  <c r="F26" i="2"/>
  <c r="E26" i="2"/>
  <c r="D26" i="2"/>
  <c r="J26" i="2" s="1"/>
  <c r="B26" i="2"/>
  <c r="C26" i="2" s="1"/>
  <c r="P25" i="2"/>
  <c r="O25" i="2"/>
  <c r="M25" i="2"/>
  <c r="I25" i="2"/>
  <c r="H25" i="2"/>
  <c r="G25" i="2"/>
  <c r="F25" i="2"/>
  <c r="E25" i="2"/>
  <c r="D25" i="2"/>
  <c r="J25" i="2" s="1"/>
  <c r="B25" i="2"/>
  <c r="C25" i="2" s="1"/>
  <c r="P24" i="2"/>
  <c r="O24" i="2"/>
  <c r="M24" i="2"/>
  <c r="I24" i="2"/>
  <c r="H24" i="2"/>
  <c r="G24" i="2"/>
  <c r="F24" i="2"/>
  <c r="E24" i="2"/>
  <c r="D24" i="2"/>
  <c r="J24" i="2" s="1"/>
  <c r="B24" i="2"/>
  <c r="C24" i="2" s="1"/>
  <c r="P23" i="2"/>
  <c r="O23" i="2"/>
  <c r="M23" i="2"/>
  <c r="I23" i="2"/>
  <c r="H23" i="2"/>
  <c r="G23" i="2"/>
  <c r="F23" i="2"/>
  <c r="E23" i="2"/>
  <c r="D23" i="2"/>
  <c r="J23" i="2" s="1"/>
  <c r="B23" i="2"/>
  <c r="C23" i="2" s="1"/>
  <c r="P22" i="2"/>
  <c r="O22" i="2"/>
  <c r="M22" i="2"/>
  <c r="I22" i="2"/>
  <c r="H22" i="2"/>
  <c r="G22" i="2"/>
  <c r="F22" i="2"/>
  <c r="E22" i="2"/>
  <c r="D22" i="2"/>
  <c r="J22" i="2" s="1"/>
  <c r="B22" i="2"/>
  <c r="C22" i="2" s="1"/>
  <c r="P21" i="2"/>
  <c r="O21" i="2"/>
  <c r="M21" i="2"/>
  <c r="I21" i="2"/>
  <c r="H21" i="2"/>
  <c r="G21" i="2"/>
  <c r="F21" i="2"/>
  <c r="E21" i="2"/>
  <c r="D21" i="2"/>
  <c r="J21" i="2" s="1"/>
  <c r="B21" i="2"/>
  <c r="C21" i="2" s="1"/>
  <c r="P20" i="2"/>
  <c r="O20" i="2"/>
  <c r="M20" i="2"/>
  <c r="I20" i="2"/>
  <c r="H20" i="2"/>
  <c r="G20" i="2"/>
  <c r="F20" i="2"/>
  <c r="E20" i="2"/>
  <c r="D20" i="2"/>
  <c r="J20" i="2" s="1"/>
  <c r="B20" i="2"/>
  <c r="C20" i="2" s="1"/>
  <c r="P19" i="2"/>
  <c r="O19" i="2"/>
  <c r="M19" i="2"/>
  <c r="I19" i="2"/>
  <c r="H19" i="2"/>
  <c r="G19" i="2"/>
  <c r="F19" i="2"/>
  <c r="E19" i="2"/>
  <c r="D19" i="2"/>
  <c r="J19" i="2" s="1"/>
  <c r="B19" i="2"/>
  <c r="C19" i="2" s="1"/>
  <c r="P18" i="2"/>
  <c r="O18" i="2"/>
  <c r="M18" i="2"/>
  <c r="I18" i="2"/>
  <c r="H18" i="2"/>
  <c r="G18" i="2"/>
  <c r="F18" i="2"/>
  <c r="E18" i="2"/>
  <c r="D18" i="2"/>
  <c r="J18" i="2" s="1"/>
  <c r="B18" i="2"/>
  <c r="C18" i="2" s="1"/>
  <c r="P17" i="2"/>
  <c r="O17" i="2"/>
  <c r="M17" i="2"/>
  <c r="I17" i="2"/>
  <c r="H17" i="2"/>
  <c r="G17" i="2"/>
  <c r="F17" i="2"/>
  <c r="E17" i="2"/>
  <c r="D17" i="2"/>
  <c r="J17" i="2" s="1"/>
  <c r="B17" i="2"/>
  <c r="C17" i="2" s="1"/>
  <c r="P16" i="2"/>
  <c r="O16" i="2"/>
  <c r="M16" i="2"/>
  <c r="I16" i="2"/>
  <c r="H16" i="2"/>
  <c r="G16" i="2"/>
  <c r="F16" i="2"/>
  <c r="E16" i="2"/>
  <c r="D16" i="2"/>
  <c r="J16" i="2" s="1"/>
  <c r="B16" i="2"/>
  <c r="C16" i="2" s="1"/>
  <c r="P15" i="2"/>
  <c r="O15" i="2"/>
  <c r="M15" i="2"/>
  <c r="I15" i="2"/>
  <c r="H15" i="2"/>
  <c r="G15" i="2"/>
  <c r="F15" i="2"/>
  <c r="E15" i="2"/>
  <c r="D15" i="2"/>
  <c r="J15" i="2" s="1"/>
  <c r="B15" i="2"/>
  <c r="C15" i="2" s="1"/>
  <c r="P14" i="2"/>
  <c r="O14" i="2"/>
  <c r="M14" i="2"/>
  <c r="I14" i="2"/>
  <c r="H14" i="2"/>
  <c r="G14" i="2"/>
  <c r="F14" i="2"/>
  <c r="E14" i="2"/>
  <c r="D14" i="2"/>
  <c r="J14" i="2" s="1"/>
  <c r="B14" i="2"/>
  <c r="C14" i="2" s="1"/>
  <c r="P13" i="2"/>
  <c r="O13" i="2"/>
  <c r="M13" i="2"/>
  <c r="I13" i="2"/>
  <c r="H13" i="2"/>
  <c r="G13" i="2"/>
  <c r="F13" i="2"/>
  <c r="E13" i="2"/>
  <c r="D13" i="2"/>
  <c r="J13" i="2" s="1"/>
  <c r="B13" i="2"/>
  <c r="C13" i="2" s="1"/>
  <c r="P12" i="2"/>
  <c r="O12" i="2"/>
  <c r="M12" i="2"/>
  <c r="I12" i="2"/>
  <c r="H12" i="2"/>
  <c r="G12" i="2"/>
  <c r="F12" i="2"/>
  <c r="E12" i="2"/>
  <c r="D12" i="2"/>
  <c r="J12" i="2" s="1"/>
  <c r="B12" i="2"/>
  <c r="C12" i="2" s="1"/>
  <c r="P11" i="2"/>
  <c r="O11" i="2"/>
  <c r="M11" i="2"/>
  <c r="I11" i="2"/>
  <c r="H11" i="2"/>
  <c r="G11" i="2"/>
  <c r="F11" i="2"/>
  <c r="E11" i="2"/>
  <c r="D11" i="2"/>
  <c r="J11" i="2" s="1"/>
  <c r="B11" i="2"/>
  <c r="C11" i="2" s="1"/>
  <c r="P10" i="2"/>
  <c r="O10" i="2"/>
  <c r="M10" i="2"/>
  <c r="I10" i="2"/>
  <c r="H10" i="2"/>
  <c r="G10" i="2"/>
  <c r="F10" i="2"/>
  <c r="E10" i="2"/>
  <c r="D10" i="2"/>
  <c r="J10" i="2" s="1"/>
  <c r="B10" i="2"/>
  <c r="C10" i="2" s="1"/>
  <c r="P9" i="2"/>
  <c r="O9" i="2"/>
  <c r="M9" i="2"/>
  <c r="I9" i="2"/>
  <c r="H9" i="2"/>
  <c r="G9" i="2"/>
  <c r="F9" i="2"/>
  <c r="E9" i="2"/>
  <c r="D9" i="2"/>
  <c r="J9" i="2" s="1"/>
  <c r="B9" i="2"/>
  <c r="C9" i="2" s="1"/>
  <c r="P8" i="2"/>
  <c r="O8" i="2"/>
  <c r="M8" i="2"/>
  <c r="I8" i="2"/>
  <c r="H8" i="2"/>
  <c r="G8" i="2"/>
  <c r="F8" i="2"/>
  <c r="E8" i="2"/>
  <c r="D8" i="2"/>
  <c r="J8" i="2" s="1"/>
  <c r="B8" i="2"/>
  <c r="C8" i="2" s="1"/>
  <c r="P7" i="2"/>
  <c r="O7" i="2"/>
  <c r="M7" i="2"/>
  <c r="I7" i="2"/>
  <c r="H7" i="2"/>
  <c r="G7" i="2"/>
  <c r="F7" i="2"/>
  <c r="E7" i="2"/>
  <c r="D7" i="2"/>
  <c r="J7" i="2" s="1"/>
  <c r="B7" i="2"/>
  <c r="C7" i="2" s="1"/>
  <c r="P6" i="2"/>
  <c r="O6" i="2"/>
  <c r="M6" i="2"/>
  <c r="I6" i="2"/>
  <c r="H6" i="2"/>
  <c r="G6" i="2"/>
  <c r="F6" i="2"/>
  <c r="E6" i="2"/>
  <c r="D6" i="2"/>
  <c r="J6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B6" i="2"/>
  <c r="C6" i="2" s="1"/>
  <c r="L6" i="2" s="1"/>
  <c r="N6" i="2" s="1"/>
  <c r="D19" i="3"/>
  <c r="D18" i="3"/>
  <c r="D15" i="3"/>
  <c r="D14" i="3"/>
  <c r="D10" i="3"/>
  <c r="E10" i="3" s="1"/>
  <c r="D9" i="3"/>
  <c r="E9" i="3" s="1"/>
  <c r="D6" i="3"/>
  <c r="E6" i="3" s="1"/>
  <c r="D5" i="3"/>
  <c r="E5" i="3" s="1"/>
  <c r="L7" i="2" l="1"/>
  <c r="N7" i="2" s="1"/>
  <c r="L8" i="2"/>
  <c r="N8" i="2" s="1"/>
  <c r="L9" i="2"/>
  <c r="N9" i="2" s="1"/>
  <c r="L10" i="2"/>
  <c r="L11" i="2"/>
  <c r="N11" i="2" s="1"/>
  <c r="L12" i="2"/>
  <c r="N12" i="2" s="1"/>
  <c r="L13" i="2"/>
  <c r="N13" i="2" s="1"/>
  <c r="L14" i="2"/>
  <c r="N14" i="2" s="1"/>
  <c r="L15" i="2"/>
  <c r="L16" i="2"/>
  <c r="N16" i="2" s="1"/>
  <c r="L17" i="2"/>
  <c r="N17" i="2" s="1"/>
  <c r="L18" i="2"/>
  <c r="N18" i="2" s="1"/>
  <c r="L19" i="2"/>
  <c r="N19" i="2" s="1"/>
  <c r="L20" i="2"/>
  <c r="N20" i="2" s="1"/>
  <c r="L21" i="2"/>
  <c r="N21" i="2" s="1"/>
  <c r="L22" i="2"/>
  <c r="N22" i="2" s="1"/>
  <c r="L23" i="2"/>
  <c r="N23" i="2" s="1"/>
  <c r="L24" i="2"/>
  <c r="N24" i="2" s="1"/>
  <c r="L25" i="2"/>
  <c r="L26" i="2"/>
  <c r="N26" i="2" s="1"/>
  <c r="L27" i="2"/>
  <c r="N27" i="2" s="1"/>
  <c r="L28" i="2"/>
  <c r="N28" i="2" s="1"/>
  <c r="L29" i="2"/>
  <c r="N29" i="2" s="1"/>
  <c r="L30" i="2"/>
  <c r="N30" i="2" s="1"/>
  <c r="L31" i="2"/>
  <c r="N31" i="2" s="1"/>
  <c r="L32" i="2"/>
  <c r="N32" i="2" s="1"/>
  <c r="L33" i="2"/>
  <c r="N33" i="2" s="1"/>
  <c r="L34" i="2"/>
  <c r="N34" i="2" s="1"/>
  <c r="L35" i="2"/>
  <c r="N35" i="2" l="1"/>
  <c r="D20" i="3"/>
  <c r="N25" i="2"/>
  <c r="D16" i="3"/>
  <c r="N15" i="2"/>
  <c r="D11" i="3"/>
  <c r="E11" i="3" s="1"/>
  <c r="N10" i="2"/>
  <c r="D7" i="3"/>
  <c r="E7" i="3" s="1"/>
</calcChain>
</file>

<file path=xl/sharedStrings.xml><?xml version="1.0" encoding="utf-8"?>
<sst xmlns="http://schemas.openxmlformats.org/spreadsheetml/2006/main" count="219" uniqueCount="184">
  <si>
    <t>TABLA C — MODELO RENTISTA | SUPUESTOS Y FUENTES</t>
  </si>
  <si>
    <t>Aritmética 100% transparente | Autor: Danilo Daneri Solano | Asistente: Claudita</t>
  </si>
  <si>
    <t>Parámetro</t>
  </si>
  <si>
    <t>Valor</t>
  </si>
  <si>
    <t>Unidad</t>
  </si>
  <si>
    <t>Fuente</t>
  </si>
  <si>
    <t>DEMOGRAFÍA</t>
  </si>
  <si>
    <t>Cohorte nuevos jubilados/año</t>
  </si>
  <si>
    <t>personas</t>
  </si>
  <si>
    <t>Libro p.3788 · INE tablas mortalidad 2023</t>
  </si>
  <si>
    <t>Uniformados universo inicial</t>
  </si>
  <si>
    <t>Libro p.2409 · CIEDESS oct.2024</t>
  </si>
  <si>
    <t>Civiles AFP con brecha</t>
  </si>
  <si>
    <t>Libro p.4207 · Superint. Pensiones sep.2022</t>
  </si>
  <si>
    <t>Profesores (top-up)</t>
  </si>
  <si>
    <t>Libro p.4204 · CASEN 2022</t>
  </si>
  <si>
    <t>Pueblos originarios</t>
  </si>
  <si>
    <t>Libro p.4205 · INE CASEN 2022</t>
  </si>
  <si>
    <t>Grupos olvidados tramo 1</t>
  </si>
  <si>
    <t>Libro Cap.12 · SERNAPESCA+ENAMI+INE</t>
  </si>
  <si>
    <t>Grupos olvidados tramo 2</t>
  </si>
  <si>
    <t>Libro Cap.12 · feriantes, cuidadoras, etc.</t>
  </si>
  <si>
    <t>Sin ahorro previsional (65+)</t>
  </si>
  <si>
    <t>Libro p.4206 · SP/USS abr.2024</t>
  </si>
  <si>
    <t>FINANCIEROS</t>
  </si>
  <si>
    <t>Tasa retorno real AFJ</t>
  </si>
  <si>
    <t>% anual</t>
  </si>
  <si>
    <t>Libro p.3590 (Regla ×240 al 5%)</t>
  </si>
  <si>
    <t>IPC proyectado</t>
  </si>
  <si>
    <t>Libro p.3594 · BCCh meta inflación</t>
  </si>
  <si>
    <t>Tasa nominal AFJ (IPC+real)</t>
  </si>
  <si>
    <t>Libro p.3594</t>
  </si>
  <si>
    <t>Fracción B1 (crédito fundado)</t>
  </si>
  <si>
    <t>% del fondo</t>
  </si>
  <si>
    <t>Libro · Regla 30/30/40</t>
  </si>
  <si>
    <t>Tope fisco dentro de B1</t>
  </si>
  <si>
    <t>% de B1</t>
  </si>
  <si>
    <t>Libro p.3511 (25% del 30%)</t>
  </si>
  <si>
    <t>Fracción prestable al fisco</t>
  </si>
  <si>
    <t>Cálculo: 30% × 25%</t>
  </si>
  <si>
    <t>PGU Y GASTOS FISCALES</t>
  </si>
  <si>
    <t>PGU feb 2026</t>
  </si>
  <si>
    <t>$/mes</t>
  </si>
  <si>
    <t>IPS feb.2026</t>
  </si>
  <si>
    <t>PGU sep 2026 (Ley 21.735)</t>
  </si>
  <si>
    <t>Ley 21.735 · ChileAtiende</t>
  </si>
  <si>
    <t>Gasto fiscal uniformados</t>
  </si>
  <si>
    <t>billones/año</t>
  </si>
  <si>
    <t>BCN/DIPRES Presup.2026</t>
  </si>
  <si>
    <t>Gasto BAC+CEV régimen</t>
  </si>
  <si>
    <t>DIPRES dic.2025</t>
  </si>
  <si>
    <t>Otros beneficios Seg.Soc.</t>
  </si>
  <si>
    <t>BCN Presup.2026 (Ley 20.531)</t>
  </si>
  <si>
    <t>CAPITAL INICIAL POR GRUPO</t>
  </si>
  <si>
    <t>Capital uniformados</t>
  </si>
  <si>
    <t>billones</t>
  </si>
  <si>
    <t>Libro p.4203</t>
  </si>
  <si>
    <t>Capital civiles AFP brecha</t>
  </si>
  <si>
    <t>Libro p.4207</t>
  </si>
  <si>
    <t>Capital profesores</t>
  </si>
  <si>
    <t>Libro p.4204</t>
  </si>
  <si>
    <t>Capital pueblos originarios</t>
  </si>
  <si>
    <t>Libro p.4205</t>
  </si>
  <si>
    <t>Capital sin ahorro (65+)</t>
  </si>
  <si>
    <t>Libro p.4206</t>
  </si>
  <si>
    <t>Capital grupos olvidados</t>
  </si>
  <si>
    <t>Libro Cap.12 estimado</t>
  </si>
  <si>
    <t>Capital por nuevo jubilado</t>
  </si>
  <si>
    <t>Libro p.3788 ($107,36 MM × 240)</t>
  </si>
  <si>
    <t>MACRO (2026)</t>
  </si>
  <si>
    <t>PIB Chile 2026</t>
  </si>
  <si>
    <t>DIPRES IFP 4T 2025 (23,8% = $85,8B)</t>
  </si>
  <si>
    <t>Crecimiento PIB nominal</t>
  </si>
  <si>
    <t>DIPRES 2,3% real + 3,5% IPC</t>
  </si>
  <si>
    <t>Presupuesto Chile 2026</t>
  </si>
  <si>
    <t>DIPRES/Hacienda ley aprobada nov.2025</t>
  </si>
  <si>
    <t>LEYENDA DE COLORES</t>
  </si>
  <si>
    <t>Azul: Input (valor hardcodeado)</t>
  </si>
  <si>
    <t>Negro: Fórmula calculada</t>
  </si>
  <si>
    <t>Verde: Link a otra hoja</t>
  </si>
  <si>
    <t>HERRAMIENTA COMPLEMENTARIA</t>
  </si>
  <si>
    <t>Calculadora Interactiva v5.0</t>
  </si>
  <si>
    <t>https://52daneridanilo47-cpu.github.io/modelorentista/</t>
  </si>
  <si>
    <t>Modificar parámetros en vivo, tests de estrés y exportación CSV/PDF</t>
  </si>
  <si>
    <t>TABLA C — BENEFICIO AL ESTADO AÑO A AÑO (30 años)</t>
  </si>
  <si>
    <t>Cifras en billones de pesos nominales | Todos los cálculos por fórmula | Links a 1.Supuestos en verde</t>
  </si>
  <si>
    <t>FONDO AFJ</t>
  </si>
  <si>
    <t>AHORRO FISCAL POR GRUPO (anual)</t>
  </si>
  <si>
    <t>AHORRO FISCAL CONSOLIDADO</t>
  </si>
  <si>
    <t>BENEFICIO TOTAL</t>
  </si>
  <si>
    <t>AUXILIARES</t>
  </si>
  <si>
    <t>Año</t>
  </si>
  <si>
    <t>Fondo
(bill)</t>
  </si>
  <si>
    <t>Prestable
7,5% (bill)</t>
  </si>
  <si>
    <t>Unif
(bill)</t>
  </si>
  <si>
    <t>Civiles
(bill)</t>
  </si>
  <si>
    <t>Prof+PO
(bill)</t>
  </si>
  <si>
    <t>Olvidados
(bill)</t>
  </si>
  <si>
    <t>SinAhorro
(bill)</t>
  </si>
  <si>
    <t>Otros
(bill)</t>
  </si>
  <si>
    <t>Total
anual</t>
  </si>
  <si>
    <t>Acumulado</t>
  </si>
  <si>
    <t>Benef.
Total</t>
  </si>
  <si>
    <t>PIB
(bill)</t>
  </si>
  <si>
    <t>% PIB</t>
  </si>
  <si>
    <t>PGU unit.
($ anual)</t>
  </si>
  <si>
    <t>Originación
acum (bill)</t>
  </si>
  <si>
    <t>Nota metodológica:</t>
  </si>
  <si>
    <t>(1) Todos los parámetros están en la hoja 1.Supuestos con fuente citada.
(2) Capital prestable = 7,5% del fondo total (Regla 25% × 30% del libro p.3511).
(3) Ahorro uniformados 100% desde año 1 según libro p.2495 (universo completo: 176.536 personas).
(4) PGU crece con IPC 3,5% + salto Ley 21.735 desde sep.2026 ($231.732 → $250.275).
(5) Calendario de incorporación: Año 1 Unif / Año 2 Civ.AFP / Año 3 Prof+PO / Año 4 Olvid t1 / Año 5 Olvid t2+SinAhorro.
(6) PIB base 2026: $361 billones (DIPRES IFP 4T 2025). Crecimiento: 2,3% real + 3,5% IPC = 5,8% nominal.</t>
  </si>
  <si>
    <t>COMPARACIÓN: TABLA A DEL LIBRO vs TABLA C CALCULADA</t>
  </si>
  <si>
    <t>La Tabla C reproduce con aritmética transparente los órdenes de magnitud de la Tabla A del libro.</t>
  </si>
  <si>
    <t>Concepto</t>
  </si>
  <si>
    <t>Tabla A libro</t>
  </si>
  <si>
    <t>Tabla C (link)</t>
  </si>
  <si>
    <t>Diferencia</t>
  </si>
  <si>
    <t>Observación</t>
  </si>
  <si>
    <t>Capital prestable al fisco</t>
  </si>
  <si>
    <t>Tabla C más alta por aplicar 7,5% fiel a regla del libro</t>
  </si>
  <si>
    <t>Ahorro fiscal acumulado</t>
  </si>
  <si>
    <t>Muy cercano (dif &lt; 5%)</t>
  </si>
  <si>
    <t>Coherencia con Tabla A</t>
  </si>
  <si>
    <t>Coherente con Tabla A</t>
  </si>
  <si>
    <t>Diferencia &lt; 6% (aceptable)</t>
  </si>
  <si>
    <t>EXTENSIÓN — AÑOS 20 Y 30 (no presentes en Tabla A del libro)</t>
  </si>
  <si>
    <t>—</t>
  </si>
  <si>
    <t>Proyección sobre Tabla A</t>
  </si>
  <si>
    <t>CONCLUSIÓN</t>
  </si>
  <si>
    <t>La Tabla C reproduce los órdenes de magnitud de la Tabla A del libro (diferencias &lt; 7%) con la ventaja de declarar explícitamente todos los supuestos usados. Esto convierte los números en verificables y defendibles ante cualquier crítico técnico. Además, extiende la proyección a 30 años, mostrando que el beneficio al Estado crece de forma progresiva desde ~$7 B al año 1 hasta ~$700 B al año 30 (≈38% del PIB).</t>
  </si>
  <si>
    <t>NOTA — CIFRAS CONSERVADORAS</t>
  </si>
  <si>
    <t>Las cifras de esta Tabla C son deliberadamente conservadoras: el modelo no capitaliza el stock del fondo AFJ al 5% real año a año, solo incorpora el crecimiento por IPC y por cohorte anual de nuevos jubilados. La cifra real del beneficio al año 30 podría ser entre 30% y 50% superior. Se prefiere errar por defecto — ver hoja 4.Metodología para explicación completa. Herramienta complementaria: Calculadora Interactiva v5.0 en 52daneridanilo47-cpu.github.io/modelorentista/</t>
  </si>
  <si>
    <t>METODOLOGÍA — MODELO RENTISTA vs PROYECCIONES DIPRES 2026</t>
  </si>
  <si>
    <t>Comparación transparente de enfoques: dos herramientas complementarias, no rivales.</t>
  </si>
  <si>
    <t>Dimensión</t>
  </si>
  <si>
    <t>DIPRES 2026 (Modelo Oficial)</t>
  </si>
  <si>
    <t>Tabla C (Modelo Rentista)</t>
  </si>
  <si>
    <t>Naturaleza</t>
  </si>
  <si>
    <t>Descriptivo-actuarial: proyecta qué pasará bajo reglas vigentes (AFP + PGU + Ley 21.735)</t>
  </si>
  <si>
    <t>Prescriptivo-político: proyecta qué pasaría bajo reglas alternativas (AFJ + Modelo Rentista)</t>
  </si>
  <si>
    <t>Método</t>
  </si>
  <si>
    <t>Microsimulación dinámica con cadenas markovianas de decremento múltiple (5,5M individuos, 77 años)</t>
  </si>
  <si>
    <t>Proyección determinística con cohorte fija, supuestos declarados, aritmética ×240</t>
  </si>
  <si>
    <t>Horizonte</t>
  </si>
  <si>
    <t>75 años (2025-2100)</t>
  </si>
  <si>
    <t>30 años (2026-2055)</t>
  </si>
  <si>
    <t>Lector objetivo</t>
  </si>
  <si>
    <t>Actuarios, Ministerio de Hacienda, DIPRES, Consejo Fiscal Autónomo</t>
  </si>
  <si>
    <t>Político, uniformados, dirigentes sindicales, ciudadano común</t>
  </si>
  <si>
    <t>Parámetros clave</t>
  </si>
  <si>
    <t>Tasas de mortalidad RV-2022, densidad cotización, migración, nupcialidad</t>
  </si>
  <si>
    <t>Cohorte 60k/año, tasa 5% real, IPC 3,5%, fracción prestable 7,5%</t>
  </si>
  <si>
    <t>Qué mide</t>
  </si>
  <si>
    <t>Gasto fiscal PGU + BAC + CEV + CAPREDENA/DIPRECA año a año bajo reformas vigentes</t>
  </si>
  <si>
    <t>Beneficio acumulado Estado (capital prestable + ahorro fiscal sustituido) año a año</t>
  </si>
  <si>
    <t>Transparencia</t>
  </si>
  <si>
    <t>Código fuente interno DIPRES; supuestos publicados en Cuadros del informe</t>
  </si>
  <si>
    <t>Todos los supuestos en hoja 1.Supuestos con fuente citada; todas las fórmulas visibles</t>
  </si>
  <si>
    <t>Comparabilidad</t>
  </si>
  <si>
    <t>Referencia para evaluar sostenibilidad del sistema actual</t>
  </si>
  <si>
    <t>Referencia para evaluar sustitución por modelo alternativo</t>
  </si>
  <si>
    <t>Citas cruzadas</t>
  </si>
  <si>
    <t>No cita al Modelo Rentista (no está publicado)</t>
  </si>
  <si>
    <t>Cita a DIPRES 2026 como contraste metodológico</t>
  </si>
  <si>
    <t>REFERENCIAS</t>
  </si>
  <si>
    <t>· DIPRES (marzo 2026). Modelo de Proyecciones del Sistema de Pensiones en Chile: 2025-2100. Dirección de Presupuestos, Ministerio de Hacienda.</t>
  </si>
  <si>
    <t>· DIPRES (enero 2026). Proyecciones de Gasto Público en Chile 2025-2050. Estudios de Finanzas Públicas 2025/48.</t>
  </si>
  <si>
    <t>· DIPRES (diciembre 2025). Estimación de Ingresos y Egresos del FAPP. Estudios de Finanzas Públicas.</t>
  </si>
  <si>
    <t>· DIPRES (febrero 2026). Informe de Finanzas Públicas 4T 2025. Ministerio de Hacienda.</t>
  </si>
  <si>
    <t>· Daneri Solano, D. (2026). Modelo Rentista. Libro Cap.10-11 (Tablas A y B).</t>
  </si>
  <si>
    <t>· Banco Central de Chile (2026). Informe de Política Monetaria, marzo 2026.</t>
  </si>
  <si>
    <t>· Ley N° 21.735 (2025). Reforma del Sistema de Pensiones. Gobierno de Chile.</t>
  </si>
  <si>
    <t>· INE (2023). Tablas de Mortalidad RV-2022 y Proyecciones de Población.</t>
  </si>
  <si>
    <t>· CIEDESS (oct.2024). Datos CAPREDENA/DIPRECA.</t>
  </si>
  <si>
    <t>· Superintendencia de Pensiones (2024). Estadísticas del Sistema de Pensiones.</t>
  </si>
  <si>
    <t>NOTA METODOLÓGICA — ENFOQUE CONSERVADOR DELIBERADO</t>
  </si>
  <si>
    <t>Esta Excel adopta el mismo enfoque metodológico de la Calculadora Interactiva del Modelo Rentista (v5.0, 52daneridanilo47-cpu.github.io/modelorentista/): modelo estático en su cálculo base, con crecimiento por IPC y por incorporación anual de nuevos jubilados, pero sin capitalización del stock año a año al 5% real. Esta decisión subestima intencionalmente el tamaño del fondo AFJ y, por tanto, el capital prestable al fisco en los años 6–30.</t>
  </si>
  <si>
    <t>La cifra real del beneficio al Estado en el año 30 podría ser entre 30% y 50% superior a lo reportado en la Tabla C. Se prefiere errar por defecto: si el número conservador ya muestra un beneficio del orden del 38% del PIB al año 30, la tesis del modelo se sostiene sin necesidad de proyectar el escenario optimista.</t>
  </si>
  <si>
    <t>La Calculadora Interactiva lo declara en su propia advertencia metodológica: "Este modelo es estático en su cálculo base. Las proyecciones de sostenibilidad incluyen crecimiento del IPC y nuevos jubilados anuales. Los números son puntos de partida para el debate técnico — la calibración definitiva corresponde al equipo actuarial de la fase piloto."</t>
  </si>
  <si>
    <t>La Tabla C (Excel) y la Calculadora Interactiva son, por tanto, dos herramientas metodológicamente alineadas: la primera entrega el detalle auditable año a año con fórmulas abiertas; la segunda permite al lector modificar parámetros y ver resultados en vivo. Ambas subestiman deliberadamente el efecto de capitalización del stock, privilegiando la prudencia sobre la proyección optimista.</t>
  </si>
  <si>
    <t>HERRAMIENTAS COMPLEMENTARIAS</t>
  </si>
  <si>
    <t>Calculadora Interactiva Modelo Rentista (v5.0)</t>
  </si>
  <si>
    <t>Libro Modelo Rentista (Daneri, 2026)</t>
  </si>
  <si>
    <t>Caps. 10-11 (Tablas A y B) · Bibliografía completa en el libro</t>
  </si>
  <si>
    <t>Autor</t>
  </si>
  <si>
    <t>Danilo Daneri Solano · 52daneridanilo47@gmail.com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</si>
</sst>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"/>
    <numFmt numFmtId="166" formatCode="#,##0.00;\(#,##0.00\);\-"/>
    <numFmt numFmtId="167" formatCode="#,##0.0;\(#,##0.0\);\-"/>
    <numFmt numFmtId="168" formatCode="\+#,##0.0;\-#,##0.0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u/>
      <sz val="10"/>
      <color rgb="FF0563C1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b/>
      <sz val="10"/>
      <color rgb="FF1F4E79"/>
      <name val="Arial"/>
      <charset val="1"/>
    </font>
    <font>
      <b/>
      <sz val="10"/>
      <color rgb="FF008000"/>
      <name val="Arial"/>
      <charset val="1"/>
    </font>
    <font>
      <b/>
      <sz val="12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2E75B6"/>
        <bgColor rgb="FF0563C1"/>
      </patternFill>
    </fill>
    <fill>
      <patternFill patternType="solid">
        <fgColor rgb="FFD9E2F3"/>
        <bgColor rgb="FFCCCCCC"/>
      </patternFill>
    </fill>
    <fill>
      <patternFill patternType="solid">
        <fgColor rgb="FF1F4E78"/>
        <bgColor rgb="FF1F4E79"/>
      </patternFill>
    </fill>
    <fill>
      <patternFill patternType="solid">
        <fgColor rgb="FFFFF2CC"/>
        <bgColor rgb="FFFFFFFF"/>
      </patternFill>
    </fill>
    <fill>
      <patternFill patternType="solid">
        <fgColor rgb="FFC0504D"/>
        <bgColor rgb="FF99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7" fillId="0" borderId="0" xfId="0" applyFont="1" applyAlignment="1">
      <alignment horizontal="left" vertical="top" wrapText="1"/>
    </xf>
    <xf numFmtId="0" fontId="13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/>
    <xf numFmtId="0" fontId="11" fillId="0" borderId="0" xfId="0" applyFont="1"/>
    <xf numFmtId="0" fontId="3" fillId="5" borderId="0" xfId="0" applyFont="1" applyFill="1"/>
    <xf numFmtId="0" fontId="4" fillId="4" borderId="0" xfId="0" applyFont="1" applyFill="1" applyAlignment="1">
      <alignment horizontal="left" vertical="center" wrapText="1"/>
    </xf>
    <xf numFmtId="0" fontId="3" fillId="7" borderId="0" xfId="0" applyFont="1" applyFill="1"/>
    <xf numFmtId="0" fontId="2" fillId="0" borderId="0" xfId="0" applyFont="1" applyAlignment="1">
      <alignment vertical="top" wrapText="1"/>
    </xf>
    <xf numFmtId="0" fontId="4" fillId="4" borderId="1" xfId="0" applyFont="1" applyFill="1" applyBorder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3" fontId="6" fillId="0" borderId="0" xfId="0" applyNumberFormat="1" applyFont="1" applyAlignment="1">
      <alignment horizontal="right" vertical="center"/>
    </xf>
    <xf numFmtId="0" fontId="2" fillId="0" borderId="0" xfId="0" applyFont="1"/>
    <xf numFmtId="0" fontId="7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8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66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4" fontId="4" fillId="6" borderId="1" xfId="0" applyNumberFormat="1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horizontal="right" vertical="center"/>
    </xf>
    <xf numFmtId="165" fontId="14" fillId="6" borderId="1" xfId="0" applyNumberFormat="1" applyFont="1" applyFill="1" applyBorder="1" applyAlignment="1">
      <alignment horizontal="right" vertical="center"/>
    </xf>
    <xf numFmtId="164" fontId="14" fillId="6" borderId="1" xfId="0" applyNumberFormat="1" applyFont="1" applyFill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167" fontId="10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5" fontId="0" fillId="0" borderId="1" xfId="0" applyNumberFormat="1" applyBorder="1"/>
    <xf numFmtId="165" fontId="10" fillId="0" borderId="1" xfId="0" applyNumberFormat="1" applyFont="1" applyBorder="1"/>
    <xf numFmtId="168" fontId="0" fillId="0" borderId="1" xfId="0" applyNumberFormat="1" applyBorder="1"/>
    <xf numFmtId="0" fontId="4" fillId="6" borderId="1" xfId="0" applyFont="1" applyFill="1" applyBorder="1"/>
    <xf numFmtId="0" fontId="0" fillId="6" borderId="1" xfId="0" applyFill="1" applyBorder="1" applyAlignment="1">
      <alignment horizontal="center" vertical="center"/>
    </xf>
    <xf numFmtId="165" fontId="4" fillId="6" borderId="1" xfId="0" applyNumberFormat="1" applyFont="1" applyFill="1" applyBorder="1"/>
    <xf numFmtId="165" fontId="15" fillId="6" borderId="1" xfId="0" applyNumberFormat="1" applyFont="1" applyFill="1" applyBorder="1"/>
    <xf numFmtId="168" fontId="4" fillId="6" borderId="1" xfId="0" applyNumberFormat="1" applyFont="1" applyFill="1" applyBorder="1"/>
    <xf numFmtId="0" fontId="0" fillId="6" borderId="1" xfId="0" applyFill="1" applyBorder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6" fillId="0" borderId="0" xfId="0" applyFont="1"/>
    <xf numFmtId="0" fontId="2" fillId="0" borderId="0" xfId="0" applyFont="1" applyAlignment="1">
      <alignment horizontal="center"/>
    </xf>
    <xf numFmtId="0" fontId="17" fillId="0" borderId="0" xfId="0" applyFont="1" applyAlignment="1">
      <alignment horizontal="left" vertical="top" wrapText="1"/>
    </xf>
    <xf numFmtId="0" fontId="18" fillId="5" borderId="0" xfId="0" applyFont="1" applyFill="1"/>
    <xf numFmtId="0" fontId="5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C0504D"/>
      <rgbColor rgb="FFFFF2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52daneridanilo47-cpu.github.io/modelorentista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52daneridanilo47-cpu.github.io/modelorentis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opLeftCell="A33" zoomScaleNormal="100" workbookViewId="0">
      <selection sqref="A1:D1"/>
    </sheetView>
  </sheetViews>
  <sheetFormatPr baseColWidth="10" defaultColWidth="8.7109375" defaultRowHeight="15" x14ac:dyDescent="0.25"/>
  <cols>
    <col min="1" max="1" width="35" customWidth="1"/>
    <col min="2" max="2" width="15" customWidth="1"/>
    <col min="3" max="3" width="14" customWidth="1"/>
    <col min="4" max="4" width="55" customWidth="1"/>
  </cols>
  <sheetData>
    <row r="1" spans="1:4" ht="24" customHeight="1" x14ac:dyDescent="0.25">
      <c r="A1" s="12" t="s">
        <v>0</v>
      </c>
      <c r="B1" s="12"/>
      <c r="C1" s="12"/>
      <c r="D1" s="12"/>
    </row>
    <row r="2" spans="1:4" ht="15" customHeight="1" x14ac:dyDescent="0.25">
      <c r="A2" s="11" t="s">
        <v>1</v>
      </c>
      <c r="B2" s="11"/>
      <c r="C2" s="11"/>
      <c r="D2" s="11"/>
    </row>
    <row r="4" spans="1:4" ht="15" customHeight="1" x14ac:dyDescent="0.25">
      <c r="A4" s="13" t="s">
        <v>2</v>
      </c>
      <c r="B4" s="13" t="s">
        <v>3</v>
      </c>
      <c r="C4" s="13" t="s">
        <v>4</v>
      </c>
      <c r="D4" s="13" t="s">
        <v>5</v>
      </c>
    </row>
    <row r="5" spans="1:4" ht="15" customHeight="1" x14ac:dyDescent="0.25">
      <c r="A5" s="7" t="s">
        <v>6</v>
      </c>
      <c r="B5" s="7"/>
      <c r="C5" s="7"/>
      <c r="D5" s="7"/>
    </row>
    <row r="6" spans="1:4" ht="15" customHeight="1" x14ac:dyDescent="0.25">
      <c r="A6" s="14" t="s">
        <v>7</v>
      </c>
      <c r="B6" s="15">
        <v>60000</v>
      </c>
      <c r="C6" s="16" t="s">
        <v>8</v>
      </c>
      <c r="D6" s="17" t="s">
        <v>9</v>
      </c>
    </row>
    <row r="7" spans="1:4" ht="15" customHeight="1" x14ac:dyDescent="0.25">
      <c r="A7" s="14" t="s">
        <v>10</v>
      </c>
      <c r="B7" s="15">
        <v>176536</v>
      </c>
      <c r="C7" s="16" t="s">
        <v>8</v>
      </c>
      <c r="D7" s="17" t="s">
        <v>11</v>
      </c>
    </row>
    <row r="8" spans="1:4" ht="15" customHeight="1" x14ac:dyDescent="0.25">
      <c r="A8" s="14" t="s">
        <v>12</v>
      </c>
      <c r="B8" s="15">
        <v>328204</v>
      </c>
      <c r="C8" s="16" t="s">
        <v>8</v>
      </c>
      <c r="D8" s="17" t="s">
        <v>13</v>
      </c>
    </row>
    <row r="9" spans="1:4" ht="15" customHeight="1" x14ac:dyDescent="0.25">
      <c r="A9" s="14" t="s">
        <v>14</v>
      </c>
      <c r="B9" s="15">
        <v>200000</v>
      </c>
      <c r="C9" s="16" t="s">
        <v>8</v>
      </c>
      <c r="D9" s="17" t="s">
        <v>15</v>
      </c>
    </row>
    <row r="10" spans="1:4" ht="15" customHeight="1" x14ac:dyDescent="0.25">
      <c r="A10" s="14" t="s">
        <v>16</v>
      </c>
      <c r="B10" s="15">
        <v>100000</v>
      </c>
      <c r="C10" s="16" t="s">
        <v>8</v>
      </c>
      <c r="D10" s="17" t="s">
        <v>17</v>
      </c>
    </row>
    <row r="11" spans="1:4" ht="15" customHeight="1" x14ac:dyDescent="0.25">
      <c r="A11" s="14" t="s">
        <v>18</v>
      </c>
      <c r="B11" s="15">
        <v>500000</v>
      </c>
      <c r="C11" s="16" t="s">
        <v>8</v>
      </c>
      <c r="D11" s="17" t="s">
        <v>19</v>
      </c>
    </row>
    <row r="12" spans="1:4" ht="15" customHeight="1" x14ac:dyDescent="0.25">
      <c r="A12" s="14" t="s">
        <v>20</v>
      </c>
      <c r="B12" s="15">
        <v>1000000</v>
      </c>
      <c r="C12" s="16" t="s">
        <v>8</v>
      </c>
      <c r="D12" s="17" t="s">
        <v>21</v>
      </c>
    </row>
    <row r="13" spans="1:4" ht="15" customHeight="1" x14ac:dyDescent="0.25">
      <c r="A13" s="14" t="s">
        <v>22</v>
      </c>
      <c r="B13" s="15">
        <v>476181</v>
      </c>
      <c r="C13" s="16" t="s">
        <v>8</v>
      </c>
      <c r="D13" s="17" t="s">
        <v>23</v>
      </c>
    </row>
    <row r="14" spans="1:4" ht="15" customHeight="1" x14ac:dyDescent="0.25">
      <c r="A14" s="7" t="s">
        <v>24</v>
      </c>
      <c r="B14" s="7"/>
      <c r="C14" s="7"/>
      <c r="D14" s="7"/>
    </row>
    <row r="15" spans="1:4" ht="15" customHeight="1" x14ac:dyDescent="0.25">
      <c r="A15" s="14" t="s">
        <v>25</v>
      </c>
      <c r="B15" s="18">
        <v>0.05</v>
      </c>
      <c r="C15" s="16" t="s">
        <v>26</v>
      </c>
      <c r="D15" s="17" t="s">
        <v>27</v>
      </c>
    </row>
    <row r="16" spans="1:4" ht="15" customHeight="1" x14ac:dyDescent="0.25">
      <c r="A16" s="14" t="s">
        <v>28</v>
      </c>
      <c r="B16" s="18">
        <v>3.5000000000000003E-2</v>
      </c>
      <c r="C16" s="16" t="s">
        <v>26</v>
      </c>
      <c r="D16" s="17" t="s">
        <v>29</v>
      </c>
    </row>
    <row r="17" spans="1:4" ht="15" customHeight="1" x14ac:dyDescent="0.25">
      <c r="A17" s="14" t="s">
        <v>30</v>
      </c>
      <c r="B17" s="18">
        <v>8.5000000000000006E-2</v>
      </c>
      <c r="C17" s="16" t="s">
        <v>26</v>
      </c>
      <c r="D17" s="17" t="s">
        <v>31</v>
      </c>
    </row>
    <row r="18" spans="1:4" ht="15" customHeight="1" x14ac:dyDescent="0.25">
      <c r="A18" s="14" t="s">
        <v>32</v>
      </c>
      <c r="B18" s="18">
        <v>0.3</v>
      </c>
      <c r="C18" s="16" t="s">
        <v>33</v>
      </c>
      <c r="D18" s="17" t="s">
        <v>34</v>
      </c>
    </row>
    <row r="19" spans="1:4" ht="15" customHeight="1" x14ac:dyDescent="0.25">
      <c r="A19" s="14" t="s">
        <v>35</v>
      </c>
      <c r="B19" s="18">
        <v>0.25</v>
      </c>
      <c r="C19" s="16" t="s">
        <v>36</v>
      </c>
      <c r="D19" s="17" t="s">
        <v>37</v>
      </c>
    </row>
    <row r="20" spans="1:4" ht="15" customHeight="1" x14ac:dyDescent="0.25">
      <c r="A20" s="14" t="s">
        <v>38</v>
      </c>
      <c r="B20" s="18">
        <v>7.4999999999999997E-2</v>
      </c>
      <c r="C20" s="16" t="s">
        <v>33</v>
      </c>
      <c r="D20" s="17" t="s">
        <v>39</v>
      </c>
    </row>
    <row r="21" spans="1:4" ht="15" customHeight="1" x14ac:dyDescent="0.25">
      <c r="A21" s="7" t="s">
        <v>40</v>
      </c>
      <c r="B21" s="7"/>
      <c r="C21" s="7"/>
      <c r="D21" s="7"/>
    </row>
    <row r="22" spans="1:4" ht="15" customHeight="1" x14ac:dyDescent="0.25">
      <c r="A22" s="14" t="s">
        <v>41</v>
      </c>
      <c r="B22" s="15">
        <v>231732</v>
      </c>
      <c r="C22" s="16" t="s">
        <v>42</v>
      </c>
      <c r="D22" s="17" t="s">
        <v>43</v>
      </c>
    </row>
    <row r="23" spans="1:4" ht="15" customHeight="1" x14ac:dyDescent="0.25">
      <c r="A23" s="14" t="s">
        <v>44</v>
      </c>
      <c r="B23" s="15">
        <v>250275</v>
      </c>
      <c r="C23" s="16" t="s">
        <v>42</v>
      </c>
      <c r="D23" s="17" t="s">
        <v>45</v>
      </c>
    </row>
    <row r="24" spans="1:4" ht="15" customHeight="1" x14ac:dyDescent="0.25">
      <c r="A24" s="14" t="s">
        <v>46</v>
      </c>
      <c r="B24" s="19">
        <v>2.9</v>
      </c>
      <c r="C24" s="16" t="s">
        <v>47</v>
      </c>
      <c r="D24" s="17" t="s">
        <v>48</v>
      </c>
    </row>
    <row r="25" spans="1:4" ht="15" customHeight="1" x14ac:dyDescent="0.25">
      <c r="A25" s="14" t="s">
        <v>49</v>
      </c>
      <c r="B25" s="19">
        <v>1.5</v>
      </c>
      <c r="C25" s="16" t="s">
        <v>47</v>
      </c>
      <c r="D25" s="17" t="s">
        <v>50</v>
      </c>
    </row>
    <row r="26" spans="1:4" ht="15" customHeight="1" x14ac:dyDescent="0.25">
      <c r="A26" s="14" t="s">
        <v>51</v>
      </c>
      <c r="B26" s="19">
        <v>1.02</v>
      </c>
      <c r="C26" s="16" t="s">
        <v>47</v>
      </c>
      <c r="D26" s="17" t="s">
        <v>52</v>
      </c>
    </row>
    <row r="27" spans="1:4" ht="15" customHeight="1" x14ac:dyDescent="0.25">
      <c r="A27" s="7" t="s">
        <v>53</v>
      </c>
      <c r="B27" s="7"/>
      <c r="C27" s="7"/>
      <c r="D27" s="7"/>
    </row>
    <row r="28" spans="1:4" ht="15" customHeight="1" x14ac:dyDescent="0.25">
      <c r="A28" s="14" t="s">
        <v>54</v>
      </c>
      <c r="B28" s="19">
        <v>47.9</v>
      </c>
      <c r="C28" s="16" t="s">
        <v>55</v>
      </c>
      <c r="D28" s="17" t="s">
        <v>56</v>
      </c>
    </row>
    <row r="29" spans="1:4" ht="15" customHeight="1" x14ac:dyDescent="0.25">
      <c r="A29" s="14" t="s">
        <v>57</v>
      </c>
      <c r="B29" s="19">
        <v>35.299999999999997</v>
      </c>
      <c r="C29" s="16" t="s">
        <v>55</v>
      </c>
      <c r="D29" s="17" t="s">
        <v>58</v>
      </c>
    </row>
    <row r="30" spans="1:4" ht="15" customHeight="1" x14ac:dyDescent="0.25">
      <c r="A30" s="14" t="s">
        <v>59</v>
      </c>
      <c r="B30" s="19">
        <v>19.2</v>
      </c>
      <c r="C30" s="16" t="s">
        <v>55</v>
      </c>
      <c r="D30" s="17" t="s">
        <v>60</v>
      </c>
    </row>
    <row r="31" spans="1:4" ht="15" customHeight="1" x14ac:dyDescent="0.25">
      <c r="A31" s="14" t="s">
        <v>61</v>
      </c>
      <c r="B31" s="19">
        <v>9.6</v>
      </c>
      <c r="C31" s="16" t="s">
        <v>55</v>
      </c>
      <c r="D31" s="17" t="s">
        <v>62</v>
      </c>
    </row>
    <row r="32" spans="1:4" ht="15" customHeight="1" x14ac:dyDescent="0.25">
      <c r="A32" s="14" t="s">
        <v>63</v>
      </c>
      <c r="B32" s="19">
        <v>61.6</v>
      </c>
      <c r="C32" s="16" t="s">
        <v>55</v>
      </c>
      <c r="D32" s="17" t="s">
        <v>64</v>
      </c>
    </row>
    <row r="33" spans="1:4" ht="15" customHeight="1" x14ac:dyDescent="0.25">
      <c r="A33" s="14" t="s">
        <v>65</v>
      </c>
      <c r="B33" s="19">
        <v>30</v>
      </c>
      <c r="C33" s="16" t="s">
        <v>55</v>
      </c>
      <c r="D33" s="17" t="s">
        <v>66</v>
      </c>
    </row>
    <row r="34" spans="1:4" ht="15" customHeight="1" x14ac:dyDescent="0.25">
      <c r="A34" s="14" t="s">
        <v>67</v>
      </c>
      <c r="B34" s="18">
        <v>0.10736</v>
      </c>
      <c r="C34" s="16" t="s">
        <v>55</v>
      </c>
      <c r="D34" s="17" t="s">
        <v>68</v>
      </c>
    </row>
    <row r="35" spans="1:4" ht="15" customHeight="1" x14ac:dyDescent="0.25">
      <c r="A35" s="7" t="s">
        <v>69</v>
      </c>
      <c r="B35" s="7"/>
      <c r="C35" s="7"/>
      <c r="D35" s="7"/>
    </row>
    <row r="36" spans="1:4" ht="15" customHeight="1" x14ac:dyDescent="0.25">
      <c r="A36" s="14" t="s">
        <v>70</v>
      </c>
      <c r="B36" s="19">
        <v>361</v>
      </c>
      <c r="C36" s="16" t="s">
        <v>55</v>
      </c>
      <c r="D36" s="17" t="s">
        <v>71</v>
      </c>
    </row>
    <row r="37" spans="1:4" ht="15" customHeight="1" x14ac:dyDescent="0.25">
      <c r="A37" s="14" t="s">
        <v>72</v>
      </c>
      <c r="B37" s="18">
        <v>5.8000000000000003E-2</v>
      </c>
      <c r="C37" s="16" t="s">
        <v>26</v>
      </c>
      <c r="D37" s="17" t="s">
        <v>73</v>
      </c>
    </row>
    <row r="38" spans="1:4" ht="15" customHeight="1" x14ac:dyDescent="0.25">
      <c r="A38" s="14" t="s">
        <v>74</v>
      </c>
      <c r="B38" s="19">
        <v>86.2</v>
      </c>
      <c r="C38" s="16" t="s">
        <v>55</v>
      </c>
      <c r="D38" s="17" t="s">
        <v>75</v>
      </c>
    </row>
    <row r="41" spans="1:4" ht="15" customHeight="1" x14ac:dyDescent="0.25">
      <c r="A41" s="20" t="s">
        <v>76</v>
      </c>
    </row>
    <row r="42" spans="1:4" ht="15" customHeight="1" x14ac:dyDescent="0.25">
      <c r="A42" s="21" t="s">
        <v>77</v>
      </c>
    </row>
    <row r="43" spans="1:4" ht="15" customHeight="1" x14ac:dyDescent="0.25">
      <c r="A43" s="22" t="s">
        <v>78</v>
      </c>
    </row>
    <row r="44" spans="1:4" ht="15" customHeight="1" x14ac:dyDescent="0.25">
      <c r="A44" s="23" t="s">
        <v>79</v>
      </c>
    </row>
    <row r="46" spans="1:4" x14ac:dyDescent="0.25">
      <c r="A46" s="6" t="s">
        <v>80</v>
      </c>
      <c r="B46" s="6"/>
      <c r="C46" s="6"/>
      <c r="D46" s="6"/>
    </row>
    <row r="47" spans="1:4" x14ac:dyDescent="0.25">
      <c r="A47" s="24" t="s">
        <v>81</v>
      </c>
      <c r="B47" s="5" t="s">
        <v>82</v>
      </c>
      <c r="C47" s="5"/>
      <c r="D47" s="5"/>
    </row>
    <row r="48" spans="1:4" x14ac:dyDescent="0.25">
      <c r="A48" s="4" t="s">
        <v>83</v>
      </c>
      <c r="B48" s="4"/>
      <c r="C48" s="4"/>
      <c r="D48" s="4"/>
    </row>
  </sheetData>
  <mergeCells count="10">
    <mergeCell ref="A27:D27"/>
    <mergeCell ref="A35:D35"/>
    <mergeCell ref="A46:D46"/>
    <mergeCell ref="B47:D47"/>
    <mergeCell ref="A48:D48"/>
    <mergeCell ref="A1:D1"/>
    <mergeCell ref="A2:D2"/>
    <mergeCell ref="A5:D5"/>
    <mergeCell ref="A14:D14"/>
    <mergeCell ref="A21:D21"/>
  </mergeCells>
  <hyperlinks>
    <hyperlink ref="B47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33" sqref="A33"/>
      <selection pane="bottomRight" activeCell="J4" sqref="J4:K4"/>
    </sheetView>
  </sheetViews>
  <sheetFormatPr baseColWidth="10" defaultColWidth="8.7109375" defaultRowHeight="15" x14ac:dyDescent="0.25"/>
  <cols>
    <col min="1" max="1" width="6" customWidth="1"/>
    <col min="2" max="3" width="10" customWidth="1"/>
    <col min="4" max="6" width="9" customWidth="1"/>
    <col min="7" max="8" width="10" customWidth="1"/>
    <col min="9" max="9" width="9.5703125" customWidth="1"/>
    <col min="10" max="10" width="9" customWidth="1"/>
    <col min="11" max="11" width="11" customWidth="1"/>
    <col min="12" max="13" width="10" customWidth="1"/>
    <col min="14" max="14" width="8" customWidth="1"/>
    <col min="15" max="15" width="14" customWidth="1"/>
    <col min="16" max="16" width="12" customWidth="1"/>
  </cols>
  <sheetData>
    <row r="1" spans="1:16" ht="24" customHeight="1" x14ac:dyDescent="0.25">
      <c r="A1" s="12" t="s">
        <v>84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5" customHeight="1" x14ac:dyDescent="0.25">
      <c r="A2" s="3" t="s">
        <v>85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1:16" ht="15" customHeight="1" x14ac:dyDescent="0.25">
      <c r="B4" s="2" t="s">
        <v>86</v>
      </c>
      <c r="C4" s="2"/>
      <c r="D4" s="2" t="s">
        <v>87</v>
      </c>
      <c r="E4" s="2"/>
      <c r="F4" s="2"/>
      <c r="G4" s="2"/>
      <c r="H4" s="2"/>
      <c r="I4" s="2"/>
      <c r="J4" s="2" t="s">
        <v>88</v>
      </c>
      <c r="K4" s="2"/>
      <c r="L4" s="2" t="s">
        <v>89</v>
      </c>
      <c r="M4" s="2"/>
      <c r="N4" s="2"/>
      <c r="O4" s="2" t="s">
        <v>90</v>
      </c>
      <c r="P4" s="2"/>
    </row>
    <row r="5" spans="1:16" ht="31.5" customHeight="1" x14ac:dyDescent="0.25">
      <c r="A5" s="25" t="s">
        <v>91</v>
      </c>
      <c r="B5" s="25" t="s">
        <v>92</v>
      </c>
      <c r="C5" s="25" t="s">
        <v>93</v>
      </c>
      <c r="D5" s="25" t="s">
        <v>94</v>
      </c>
      <c r="E5" s="25" t="s">
        <v>95</v>
      </c>
      <c r="F5" s="25" t="s">
        <v>96</v>
      </c>
      <c r="G5" s="25" t="s">
        <v>97</v>
      </c>
      <c r="H5" s="25" t="s">
        <v>98</v>
      </c>
      <c r="I5" s="25" t="s">
        <v>99</v>
      </c>
      <c r="J5" s="25" t="s">
        <v>100</v>
      </c>
      <c r="K5" s="25" t="s">
        <v>101</v>
      </c>
      <c r="L5" s="25" t="s">
        <v>102</v>
      </c>
      <c r="M5" s="25" t="s">
        <v>103</v>
      </c>
      <c r="N5" s="25" t="s">
        <v>104</v>
      </c>
      <c r="O5" s="25" t="s">
        <v>105</v>
      </c>
      <c r="P5" s="25" t="s">
        <v>106</v>
      </c>
    </row>
    <row r="6" spans="1:16" ht="15" customHeight="1" x14ac:dyDescent="0.25">
      <c r="A6" s="26">
        <v>1</v>
      </c>
      <c r="B6" s="27">
        <f>P6*(1+'1.Supuestos'!$B$16)^MAX(0,A6-1)+'1.Supuestos'!$B$6*107360000/1000000000000*A6</f>
        <v>54.3416</v>
      </c>
      <c r="C6" s="28">
        <f>B6*'1.Supuestos'!$B$20</f>
        <v>4.0756199999999998</v>
      </c>
      <c r="D6" s="29">
        <f>IF(A6&gt;=1,'1.Supuestos'!$B$24*(1+'1.Supuestos'!$B$16)^(A6-1),0)</f>
        <v>2.9</v>
      </c>
      <c r="E6" s="30">
        <f>IF(A6&gt;=2,'1.Supuestos'!$B$8*O6/1000000000000,0)</f>
        <v>0</v>
      </c>
      <c r="F6" s="30">
        <f>IF(A6&gt;=3,('1.Supuestos'!$B$9+'1.Supuestos'!$B$10)*O6/1000000000000,0)</f>
        <v>0</v>
      </c>
      <c r="G6" s="30">
        <f>IF(A6&gt;=4,'1.Supuestos'!$B$11*O6/1000000000000,0)+IF(A6&gt;=5,'1.Supuestos'!$B$12*O6/1000000000000,0)</f>
        <v>0</v>
      </c>
      <c r="H6" s="30">
        <f>IF(A6&gt;=5,'1.Supuestos'!$B$13*O6/1000000000000,0)</f>
        <v>0</v>
      </c>
      <c r="I6" s="30">
        <f>IF(A6&gt;=2,('1.Supuestos'!$B$25+'1.Supuestos'!$B$26)*MIN(1,(A6-1)/5)*(1+'1.Supuestos'!$B$16)^(A6-1),0)</f>
        <v>0</v>
      </c>
      <c r="J6" s="31">
        <f t="shared" ref="J6:J35" si="0">SUM(D6:I6)</f>
        <v>2.9</v>
      </c>
      <c r="K6" s="32">
        <f>J6</f>
        <v>2.9</v>
      </c>
      <c r="L6" s="33">
        <f t="shared" ref="L6:L35" si="1">C6+K6</f>
        <v>6.9756199999999993</v>
      </c>
      <c r="M6" s="27">
        <f>'1.Supuestos'!$B$36*(1+'1.Supuestos'!$B$37)^(A6-1)</f>
        <v>361</v>
      </c>
      <c r="N6" s="34">
        <f t="shared" ref="N6:N35" si="2">L6/M6</f>
        <v>1.9323047091412741E-2</v>
      </c>
      <c r="O6" s="35">
        <f>'1.Supuestos'!$B$22*12</f>
        <v>2780784</v>
      </c>
      <c r="P6" s="36">
        <f>IF(A6&gt;=1,'1.Supuestos'!$B$28,0)+IF(A6&gt;=2,'1.Supuestos'!$B$29,0)+IF(A6&gt;=3,'1.Supuestos'!$B$30+'1.Supuestos'!$B$31,0)+IF(A6&gt;=4,'1.Supuestos'!$B$33*0.5,0)+IF(A6&gt;=5,'1.Supuestos'!$B$33*0.5+'1.Supuestos'!$B$32,0)</f>
        <v>47.9</v>
      </c>
    </row>
    <row r="7" spans="1:16" ht="15" customHeight="1" x14ac:dyDescent="0.25">
      <c r="A7" s="26">
        <v>2</v>
      </c>
      <c r="B7" s="27">
        <f>P7*(1+'1.Supuestos'!$B$16)^MAX(0,A7-1)+'1.Supuestos'!$B$6*107360000/1000000000000*A7</f>
        <v>98.995199999999983</v>
      </c>
      <c r="C7" s="28">
        <f>B7*'1.Supuestos'!$B$20</f>
        <v>7.4246399999999984</v>
      </c>
      <c r="D7" s="29">
        <f>IF(A7&gt;=1,'1.Supuestos'!$B$24*(1+'1.Supuestos'!$B$16)^(A7-1),0)</f>
        <v>3.0014999999999996</v>
      </c>
      <c r="E7" s="30">
        <f>IF(A7&gt;=2,'1.Supuestos'!$B$8*O7/1000000000000,0)</f>
        <v>1.0201944007619999</v>
      </c>
      <c r="F7" s="30">
        <f>IF(A7&gt;=3,('1.Supuestos'!$B$9+'1.Supuestos'!$B$10)*O7/1000000000000,0)</f>
        <v>0</v>
      </c>
      <c r="G7" s="30">
        <f>IF(A7&gt;=4,'1.Supuestos'!$B$11*O7/1000000000000,0)+IF(A7&gt;=5,'1.Supuestos'!$B$12*O7/1000000000000,0)</f>
        <v>0</v>
      </c>
      <c r="H7" s="30">
        <f>IF(A7&gt;=5,'1.Supuestos'!$B$13*O7/1000000000000,0)</f>
        <v>0</v>
      </c>
      <c r="I7" s="30">
        <f>IF(A7&gt;=2,('1.Supuestos'!$B$25+'1.Supuestos'!$B$26)*MIN(1,(A7-1)/5)*(1+'1.Supuestos'!$B$16)^(A7-1),0)</f>
        <v>0.52163999999999999</v>
      </c>
      <c r="J7" s="31">
        <f t="shared" si="0"/>
        <v>4.5433344007619993</v>
      </c>
      <c r="K7" s="32">
        <f t="shared" ref="K7:K35" si="3">K6+J7</f>
        <v>7.4433344007619997</v>
      </c>
      <c r="L7" s="33">
        <f t="shared" si="1"/>
        <v>14.867974400761998</v>
      </c>
      <c r="M7" s="27">
        <f>'1.Supuestos'!$B$36*(1+'1.Supuestos'!$B$37)^(A7-1)</f>
        <v>381.93800000000005</v>
      </c>
      <c r="N7" s="34">
        <f t="shared" si="2"/>
        <v>3.8927717066021175E-2</v>
      </c>
      <c r="O7" s="35">
        <f>'1.Supuestos'!$B$23*12*(1+'1.Supuestos'!$B$16)^(A7-1)</f>
        <v>3108415.4999999995</v>
      </c>
      <c r="P7" s="36">
        <f>IF(A7&gt;=1,'1.Supuestos'!$B$28,0)+IF(A7&gt;=2,'1.Supuestos'!$B$29,0)+IF(A7&gt;=3,'1.Supuestos'!$B$30+'1.Supuestos'!$B$31,0)+IF(A7&gt;=4,'1.Supuestos'!$B$33*0.5,0)+IF(A7&gt;=5,'1.Supuestos'!$B$33*0.5+'1.Supuestos'!$B$32,0)</f>
        <v>83.199999999999989</v>
      </c>
    </row>
    <row r="8" spans="1:16" ht="15" customHeight="1" x14ac:dyDescent="0.25">
      <c r="A8" s="26">
        <v>3</v>
      </c>
      <c r="B8" s="27">
        <f>P8*(1+'1.Supuestos'!$B$16)^MAX(0,A8-1)+'1.Supuestos'!$B$6*107360000/1000000000000*A8</f>
        <v>139.30199999999996</v>
      </c>
      <c r="C8" s="28">
        <f>B8*'1.Supuestos'!$B$20</f>
        <v>10.447649999999998</v>
      </c>
      <c r="D8" s="29">
        <f>IF(A8&gt;=1,'1.Supuestos'!$B$24*(1+'1.Supuestos'!$B$16)^(A8-1),0)</f>
        <v>3.1065524999999994</v>
      </c>
      <c r="E8" s="30">
        <f>IF(A8&gt;=2,'1.Supuestos'!$B$8*O8/1000000000000,0)</f>
        <v>1.0559012047886698</v>
      </c>
      <c r="F8" s="30">
        <f>IF(A8&gt;=3,('1.Supuestos'!$B$9+'1.Supuestos'!$B$10)*O8/1000000000000,0)</f>
        <v>0.96516301274999983</v>
      </c>
      <c r="G8" s="30">
        <f>IF(A8&gt;=4,'1.Supuestos'!$B$11*O8/1000000000000,0)+IF(A8&gt;=5,'1.Supuestos'!$B$12*O8/1000000000000,0)</f>
        <v>0</v>
      </c>
      <c r="H8" s="30">
        <f>IF(A8&gt;=5,'1.Supuestos'!$B$13*O8/1000000000000,0)</f>
        <v>0</v>
      </c>
      <c r="I8" s="30">
        <f>IF(A8&gt;=2,('1.Supuestos'!$B$25+'1.Supuestos'!$B$26)*MIN(1,(A8-1)/5)*(1+'1.Supuestos'!$B$16)^(A8-1),0)</f>
        <v>1.0797947999999999</v>
      </c>
      <c r="J8" s="31">
        <f t="shared" si="0"/>
        <v>6.2074115175386693</v>
      </c>
      <c r="K8" s="32">
        <f t="shared" si="3"/>
        <v>13.650745918300668</v>
      </c>
      <c r="L8" s="33">
        <f t="shared" si="1"/>
        <v>24.098395918300668</v>
      </c>
      <c r="M8" s="27">
        <f>'1.Supuestos'!$B$36*(1+'1.Supuestos'!$B$37)^(A8-1)</f>
        <v>404.09040400000004</v>
      </c>
      <c r="N8" s="34">
        <f t="shared" si="2"/>
        <v>5.9636149930203899E-2</v>
      </c>
      <c r="O8" s="35">
        <f>'1.Supuestos'!$B$23*12*(1+'1.Supuestos'!$B$16)^(A8-1)</f>
        <v>3217210.0424999995</v>
      </c>
      <c r="P8" s="36">
        <f>IF(A8&gt;=1,'1.Supuestos'!$B$28,0)+IF(A8&gt;=2,'1.Supuestos'!$B$29,0)+IF(A8&gt;=3,'1.Supuestos'!$B$30+'1.Supuestos'!$B$31,0)+IF(A8&gt;=4,'1.Supuestos'!$B$33*0.5,0)+IF(A8&gt;=5,'1.Supuestos'!$B$33*0.5+'1.Supuestos'!$B$32,0)</f>
        <v>111.99999999999999</v>
      </c>
    </row>
    <row r="9" spans="1:16" ht="15" customHeight="1" x14ac:dyDescent="0.25">
      <c r="A9" s="26">
        <v>4</v>
      </c>
      <c r="B9" s="27">
        <f>P9*(1+'1.Supuestos'!$B$16)^MAX(0,A9-1)+'1.Supuestos'!$B$6*107360000/1000000000000*A9</f>
        <v>166.57357012499995</v>
      </c>
      <c r="C9" s="28">
        <f>B9*'1.Supuestos'!$B$20</f>
        <v>12.493017759374995</v>
      </c>
      <c r="D9" s="29">
        <f>IF(A9&gt;=1,'1.Supuestos'!$B$24*(1+'1.Supuestos'!$B$16)^(A9-1),0)</f>
        <v>3.2152818374999992</v>
      </c>
      <c r="E9" s="30">
        <f>IF(A9&gt;=2,'1.Supuestos'!$B$8*O9/1000000000000,0)</f>
        <v>1.0928577469562732</v>
      </c>
      <c r="F9" s="30">
        <f>IF(A9&gt;=3,('1.Supuestos'!$B$9+'1.Supuestos'!$B$10)*O9/1000000000000,0)</f>
        <v>0.99894371819624972</v>
      </c>
      <c r="G9" s="30">
        <f>IF(A9&gt;=4,'1.Supuestos'!$B$11*O9/1000000000000,0)+IF(A9&gt;=5,'1.Supuestos'!$B$12*O9/1000000000000,0)</f>
        <v>1.6649061969937495</v>
      </c>
      <c r="H9" s="30">
        <f>IF(A9&gt;=5,'1.Supuestos'!$B$13*O9/1000000000000,0)</f>
        <v>0</v>
      </c>
      <c r="I9" s="30">
        <f>IF(A9&gt;=2,('1.Supuestos'!$B$25+'1.Supuestos'!$B$26)*MIN(1,(A9-1)/5)*(1+'1.Supuestos'!$B$16)^(A9-1),0)</f>
        <v>1.6763814269999997</v>
      </c>
      <c r="J9" s="31">
        <f t="shared" si="0"/>
        <v>8.6483709266462707</v>
      </c>
      <c r="K9" s="32">
        <f t="shared" si="3"/>
        <v>22.299116844946937</v>
      </c>
      <c r="L9" s="33">
        <f t="shared" si="1"/>
        <v>34.79213460432193</v>
      </c>
      <c r="M9" s="27">
        <f>'1.Supuestos'!$B$36*(1+'1.Supuestos'!$B$37)^(A9-1)</f>
        <v>427.52764743200004</v>
      </c>
      <c r="N9" s="34">
        <f t="shared" si="2"/>
        <v>8.1379847159137833E-2</v>
      </c>
      <c r="O9" s="35">
        <f>'1.Supuestos'!$B$23*12*(1+'1.Supuestos'!$B$16)^(A9-1)</f>
        <v>3329812.3939874992</v>
      </c>
      <c r="P9" s="36">
        <f>IF(A9&gt;=1,'1.Supuestos'!$B$28,0)+IF(A9&gt;=2,'1.Supuestos'!$B$29,0)+IF(A9&gt;=3,'1.Supuestos'!$B$30+'1.Supuestos'!$B$31,0)+IF(A9&gt;=4,'1.Supuestos'!$B$33*0.5,0)+IF(A9&gt;=5,'1.Supuestos'!$B$33*0.5+'1.Supuestos'!$B$32,0)</f>
        <v>126.99999999999999</v>
      </c>
    </row>
    <row r="10" spans="1:16" ht="15" customHeight="1" x14ac:dyDescent="0.25">
      <c r="A10" s="26">
        <v>5</v>
      </c>
      <c r="B10" s="27">
        <f>P10*(1+'1.Supuestos'!$B$16)^MAX(0,A10-1)+'1.Supuestos'!$B$6*107360000/1000000000000*A10</f>
        <v>265.84368292724992</v>
      </c>
      <c r="C10" s="28">
        <f>B10*'1.Supuestos'!$B$20</f>
        <v>19.938276219543742</v>
      </c>
      <c r="D10" s="29">
        <f>IF(A10&gt;=1,'1.Supuestos'!$B$24*(1+'1.Supuestos'!$B$16)^(A10-1),0)</f>
        <v>3.3278167018124991</v>
      </c>
      <c r="E10" s="30">
        <f>IF(A10&gt;=2,'1.Supuestos'!$B$8*O10/1000000000000,0)</f>
        <v>1.1311077680997428</v>
      </c>
      <c r="F10" s="30">
        <f>IF(A10&gt;=3,('1.Supuestos'!$B$9+'1.Supuestos'!$B$10)*O10/1000000000000,0)</f>
        <v>1.0339067483331186</v>
      </c>
      <c r="G10" s="30">
        <f>IF(A10&gt;=4,'1.Supuestos'!$B$11*O10/1000000000000,0)+IF(A10&gt;=5,'1.Supuestos'!$B$12*O10/1000000000000,0)</f>
        <v>5.1695337416655924</v>
      </c>
      <c r="H10" s="30">
        <f>IF(A10&gt;=5,'1.Supuestos'!$B$13*O10/1000000000000,0)</f>
        <v>1.6410891644267089</v>
      </c>
      <c r="I10" s="30">
        <f>IF(A10&gt;=2,('1.Supuestos'!$B$25+'1.Supuestos'!$B$26)*MIN(1,(A10-1)/5)*(1+'1.Supuestos'!$B$16)^(A10-1),0)</f>
        <v>2.3134063692599995</v>
      </c>
      <c r="J10" s="31">
        <f t="shared" si="0"/>
        <v>14.616860493597661</v>
      </c>
      <c r="K10" s="32">
        <f t="shared" si="3"/>
        <v>36.9159773385446</v>
      </c>
      <c r="L10" s="33">
        <f t="shared" si="1"/>
        <v>56.854253558088345</v>
      </c>
      <c r="M10" s="27">
        <f>'1.Supuestos'!$B$36*(1+'1.Supuestos'!$B$37)^(A10-1)</f>
        <v>452.324250983056</v>
      </c>
      <c r="N10" s="34">
        <f t="shared" si="2"/>
        <v>0.12569357807927503</v>
      </c>
      <c r="O10" s="35">
        <f>'1.Supuestos'!$B$23*12*(1+'1.Supuestos'!$B$16)^(A10-1)</f>
        <v>3446355.8277770616</v>
      </c>
      <c r="P10" s="36">
        <f>IF(A10&gt;=1,'1.Supuestos'!$B$28,0)+IF(A10&gt;=2,'1.Supuestos'!$B$29,0)+IF(A10&gt;=3,'1.Supuestos'!$B$30+'1.Supuestos'!$B$31,0)+IF(A10&gt;=4,'1.Supuestos'!$B$33*0.5,0)+IF(A10&gt;=5,'1.Supuestos'!$B$33*0.5+'1.Supuestos'!$B$32,0)</f>
        <v>203.59999999999997</v>
      </c>
    </row>
    <row r="11" spans="1:16" ht="15" customHeight="1" x14ac:dyDescent="0.25">
      <c r="A11" s="26">
        <v>6</v>
      </c>
      <c r="B11" s="27">
        <f>P11*(1+'1.Supuestos'!$B$16)^MAX(0,A11-1)+'1.Supuestos'!$B$6*107360000/1000000000000*A11</f>
        <v>280.46253182970361</v>
      </c>
      <c r="C11" s="28">
        <f>B11*'1.Supuestos'!$B$20</f>
        <v>21.034689887227771</v>
      </c>
      <c r="D11" s="29">
        <f>IF(A11&gt;=1,'1.Supuestos'!$B$24*(1+'1.Supuestos'!$B$16)^(A11-1),0)</f>
        <v>3.4442902863759359</v>
      </c>
      <c r="E11" s="30">
        <f>IF(A11&gt;=2,'1.Supuestos'!$B$8*O11/1000000000000,0)</f>
        <v>1.1706965399832336</v>
      </c>
      <c r="F11" s="30">
        <f>IF(A11&gt;=3,('1.Supuestos'!$B$9+'1.Supuestos'!$B$10)*O11/1000000000000,0)</f>
        <v>1.0700934845247774</v>
      </c>
      <c r="G11" s="30">
        <f>IF(A11&gt;=4,'1.Supuestos'!$B$11*O11/1000000000000,0)+IF(A11&gt;=5,'1.Supuestos'!$B$12*O11/1000000000000,0)</f>
        <v>5.350467422623888</v>
      </c>
      <c r="H11" s="30">
        <f>IF(A11&gt;=5,'1.Supuestos'!$B$13*O11/1000000000000,0)</f>
        <v>1.6985272851816435</v>
      </c>
      <c r="I11" s="30">
        <f>IF(A11&gt;=2,('1.Supuestos'!$B$25+'1.Supuestos'!$B$26)*MIN(1,(A11-1)/5)*(1+'1.Supuestos'!$B$16)^(A11-1),0)</f>
        <v>2.9929694902301236</v>
      </c>
      <c r="J11" s="31">
        <f t="shared" si="0"/>
        <v>15.727044508919603</v>
      </c>
      <c r="K11" s="32">
        <f t="shared" si="3"/>
        <v>52.643021847464205</v>
      </c>
      <c r="L11" s="33">
        <f t="shared" si="1"/>
        <v>73.677711734691968</v>
      </c>
      <c r="M11" s="27">
        <f>'1.Supuestos'!$B$36*(1+'1.Supuestos'!$B$37)^(A11-1)</f>
        <v>478.55905754007324</v>
      </c>
      <c r="N11" s="34">
        <f t="shared" si="2"/>
        <v>0.15395740729141333</v>
      </c>
      <c r="O11" s="35">
        <f>'1.Supuestos'!$B$23*12*(1+'1.Supuestos'!$B$16)^(A11-1)</f>
        <v>3566978.2817492583</v>
      </c>
      <c r="P11" s="36">
        <f>IF(A11&gt;=1,'1.Supuestos'!$B$28,0)+IF(A11&gt;=2,'1.Supuestos'!$B$29,0)+IF(A11&gt;=3,'1.Supuestos'!$B$30+'1.Supuestos'!$B$31,0)+IF(A11&gt;=4,'1.Supuestos'!$B$33*0.5,0)+IF(A11&gt;=5,'1.Supuestos'!$B$33*0.5+'1.Supuestos'!$B$32,0)</f>
        <v>203.59999999999997</v>
      </c>
    </row>
    <row r="12" spans="1:16" ht="15" customHeight="1" x14ac:dyDescent="0.25">
      <c r="A12" s="26">
        <v>7</v>
      </c>
      <c r="B12" s="27">
        <f>P12*(1+'1.Supuestos'!$B$16)^MAX(0,A12-1)+'1.Supuestos'!$B$6*107360000/1000000000000*A12</f>
        <v>295.36758444374323</v>
      </c>
      <c r="C12" s="28">
        <f>B12*'1.Supuestos'!$B$20</f>
        <v>22.152568833280743</v>
      </c>
      <c r="D12" s="29">
        <f>IF(A12&gt;=1,'1.Supuestos'!$B$24*(1+'1.Supuestos'!$B$16)^(A12-1),0)</f>
        <v>3.5648404463990939</v>
      </c>
      <c r="E12" s="30">
        <f>IF(A12&gt;=2,'1.Supuestos'!$B$8*O12/1000000000000,0)</f>
        <v>1.2116709188826467</v>
      </c>
      <c r="F12" s="30">
        <f>IF(A12&gt;=3,('1.Supuestos'!$B$9+'1.Supuestos'!$B$10)*O12/1000000000000,0)</f>
        <v>1.1075467564831447</v>
      </c>
      <c r="G12" s="30">
        <f>IF(A12&gt;=4,'1.Supuestos'!$B$11*O12/1000000000000,0)+IF(A12&gt;=5,'1.Supuestos'!$B$12*O12/1000000000000,0)</f>
        <v>5.5377337824157236</v>
      </c>
      <c r="H12" s="30">
        <f>IF(A12&gt;=5,'1.Supuestos'!$B$13*O12/1000000000000,0)</f>
        <v>1.7579757401630012</v>
      </c>
      <c r="I12" s="30">
        <f>IF(A12&gt;=2,('1.Supuestos'!$B$25+'1.Supuestos'!$B$26)*MIN(1,(A12-1)/5)*(1+'1.Supuestos'!$B$16)^(A12-1),0)</f>
        <v>3.0977234223881784</v>
      </c>
      <c r="J12" s="31">
        <f t="shared" si="0"/>
        <v>16.277491066731788</v>
      </c>
      <c r="K12" s="32">
        <f t="shared" si="3"/>
        <v>68.920512914195996</v>
      </c>
      <c r="L12" s="33">
        <f t="shared" si="1"/>
        <v>91.073081747476735</v>
      </c>
      <c r="M12" s="27">
        <f>'1.Supuestos'!$B$36*(1+'1.Supuestos'!$B$37)^(A12-1)</f>
        <v>506.31548287739753</v>
      </c>
      <c r="N12" s="34">
        <f t="shared" si="2"/>
        <v>0.17987417890108201</v>
      </c>
      <c r="O12" s="35">
        <f>'1.Supuestos'!$B$23*12*(1+'1.Supuestos'!$B$16)^(A12-1)</f>
        <v>3691822.5216104826</v>
      </c>
      <c r="P12" s="36">
        <f>IF(A12&gt;=1,'1.Supuestos'!$B$28,0)+IF(A12&gt;=2,'1.Supuestos'!$B$29,0)+IF(A12&gt;=3,'1.Supuestos'!$B$30+'1.Supuestos'!$B$31,0)+IF(A12&gt;=4,'1.Supuestos'!$B$33*0.5,0)+IF(A12&gt;=5,'1.Supuestos'!$B$33*0.5+'1.Supuestos'!$B$32,0)</f>
        <v>203.59999999999997</v>
      </c>
    </row>
    <row r="13" spans="1:16" ht="15" customHeight="1" x14ac:dyDescent="0.25">
      <c r="A13" s="26">
        <v>8</v>
      </c>
      <c r="B13" s="27">
        <f>P13*(1+'1.Supuestos'!$B$16)^MAX(0,A13-1)+'1.Supuestos'!$B$6*107360000/1000000000000*A13</f>
        <v>310.56885789927424</v>
      </c>
      <c r="C13" s="28">
        <f>B13*'1.Supuestos'!$B$20</f>
        <v>23.292664342445565</v>
      </c>
      <c r="D13" s="29">
        <f>IF(A13&gt;=1,'1.Supuestos'!$B$24*(1+'1.Supuestos'!$B$16)^(A13-1),0)</f>
        <v>3.6896098620230617</v>
      </c>
      <c r="E13" s="30">
        <f>IF(A13&gt;=2,'1.Supuestos'!$B$8*O13/1000000000000,0)</f>
        <v>1.2540794010435392</v>
      </c>
      <c r="F13" s="30">
        <f>IF(A13&gt;=3,('1.Supuestos'!$B$9+'1.Supuestos'!$B$10)*O13/1000000000000,0)</f>
        <v>1.1463108929600547</v>
      </c>
      <c r="G13" s="30">
        <f>IF(A13&gt;=4,'1.Supuestos'!$B$11*O13/1000000000000,0)+IF(A13&gt;=5,'1.Supuestos'!$B$12*O13/1000000000000,0)</f>
        <v>5.731554464800273</v>
      </c>
      <c r="H13" s="30">
        <f>IF(A13&gt;=5,'1.Supuestos'!$B$13*O13/1000000000000,0)</f>
        <v>1.8195048910687062</v>
      </c>
      <c r="I13" s="30">
        <f>IF(A13&gt;=2,('1.Supuestos'!$B$25+'1.Supuestos'!$B$26)*MIN(1,(A13-1)/5)*(1+'1.Supuestos'!$B$16)^(A13-1),0)</f>
        <v>3.2061437421717645</v>
      </c>
      <c r="J13" s="31">
        <f t="shared" si="0"/>
        <v>16.847203254067399</v>
      </c>
      <c r="K13" s="32">
        <f t="shared" si="3"/>
        <v>85.767716168263391</v>
      </c>
      <c r="L13" s="33">
        <f t="shared" si="1"/>
        <v>109.06038051070895</v>
      </c>
      <c r="M13" s="27">
        <f>'1.Supuestos'!$B$36*(1+'1.Supuestos'!$B$37)^(A13-1)</f>
        <v>535.68178088428658</v>
      </c>
      <c r="N13" s="34">
        <f t="shared" si="2"/>
        <v>0.20359173002052733</v>
      </c>
      <c r="O13" s="35">
        <f>'1.Supuestos'!$B$23*12*(1+'1.Supuestos'!$B$16)^(A13-1)</f>
        <v>3821036.3098668489</v>
      </c>
      <c r="P13" s="36">
        <f>IF(A13&gt;=1,'1.Supuestos'!$B$28,0)+IF(A13&gt;=2,'1.Supuestos'!$B$29,0)+IF(A13&gt;=3,'1.Supuestos'!$B$30+'1.Supuestos'!$B$31,0)+IF(A13&gt;=4,'1.Supuestos'!$B$33*0.5,0)+IF(A13&gt;=5,'1.Supuestos'!$B$33*0.5+'1.Supuestos'!$B$32,0)</f>
        <v>203.59999999999997</v>
      </c>
    </row>
    <row r="14" spans="1:16" ht="15" customHeight="1" x14ac:dyDescent="0.25">
      <c r="A14" s="26">
        <v>9</v>
      </c>
      <c r="B14" s="27">
        <f>P14*(1+'1.Supuestos'!$B$16)^MAX(0,A14-1)+'1.Supuestos'!$B$6*107360000/1000000000000*A14</f>
        <v>326.07671992574876</v>
      </c>
      <c r="C14" s="28">
        <f>B14*'1.Supuestos'!$B$20</f>
        <v>24.455753994431156</v>
      </c>
      <c r="D14" s="29">
        <f>IF(A14&gt;=1,'1.Supuestos'!$B$24*(1+'1.Supuestos'!$B$16)^(A14-1),0)</f>
        <v>3.8187462071938683</v>
      </c>
      <c r="E14" s="30">
        <f>IF(A14&gt;=2,'1.Supuestos'!$B$8*O14/1000000000000,0)</f>
        <v>1.297972180080063</v>
      </c>
      <c r="F14" s="30">
        <f>IF(A14&gt;=3,('1.Supuestos'!$B$9+'1.Supuestos'!$B$10)*O14/1000000000000,0)</f>
        <v>1.1864317742136565</v>
      </c>
      <c r="G14" s="30">
        <f>IF(A14&gt;=4,'1.Supuestos'!$B$11*O14/1000000000000,0)+IF(A14&gt;=5,'1.Supuestos'!$B$12*O14/1000000000000,0)</f>
        <v>5.9321588710682818</v>
      </c>
      <c r="H14" s="30">
        <f>IF(A14&gt;=5,'1.Supuestos'!$B$13*O14/1000000000000,0)</f>
        <v>1.8831875622561103</v>
      </c>
      <c r="I14" s="30">
        <f>IF(A14&gt;=2,('1.Supuestos'!$B$25+'1.Supuestos'!$B$26)*MIN(1,(A14-1)/5)*(1+'1.Supuestos'!$B$16)^(A14-1),0)</f>
        <v>3.3183587731477755</v>
      </c>
      <c r="J14" s="31">
        <f t="shared" si="0"/>
        <v>17.436855367959755</v>
      </c>
      <c r="K14" s="32">
        <f t="shared" si="3"/>
        <v>103.20457153622314</v>
      </c>
      <c r="L14" s="33">
        <f t="shared" si="1"/>
        <v>127.66032553065429</v>
      </c>
      <c r="M14" s="27">
        <f>'1.Supuestos'!$B$36*(1+'1.Supuestos'!$B$37)^(A14-1)</f>
        <v>566.75132417557518</v>
      </c>
      <c r="N14" s="34">
        <f t="shared" si="2"/>
        <v>0.22524927615538506</v>
      </c>
      <c r="O14" s="35">
        <f>'1.Supuestos'!$B$23*12*(1+'1.Supuestos'!$B$16)^(A14-1)</f>
        <v>3954772.580712188</v>
      </c>
      <c r="P14" s="36">
        <f>IF(A14&gt;=1,'1.Supuestos'!$B$28,0)+IF(A14&gt;=2,'1.Supuestos'!$B$29,0)+IF(A14&gt;=3,'1.Supuestos'!$B$30+'1.Supuestos'!$B$31,0)+IF(A14&gt;=4,'1.Supuestos'!$B$33*0.5,0)+IF(A14&gt;=5,'1.Supuestos'!$B$33*0.5+'1.Supuestos'!$B$32,0)</f>
        <v>203.59999999999997</v>
      </c>
    </row>
    <row r="15" spans="1:16" ht="15" customHeight="1" x14ac:dyDescent="0.25">
      <c r="A15" s="26">
        <v>10</v>
      </c>
      <c r="B15" s="27">
        <f>P15*(1+'1.Supuestos'!$B$16)^MAX(0,A15-1)+'1.Supuestos'!$B$6*107360000/1000000000000*A15</f>
        <v>341.90190112314997</v>
      </c>
      <c r="C15" s="28">
        <f>B15*'1.Supuestos'!$B$20</f>
        <v>25.642642584236246</v>
      </c>
      <c r="D15" s="29">
        <f>IF(A15&gt;=1,'1.Supuestos'!$B$24*(1+'1.Supuestos'!$B$16)^(A15-1),0)</f>
        <v>3.9524023244456532</v>
      </c>
      <c r="E15" s="30">
        <f>IF(A15&gt;=2,'1.Supuestos'!$B$8*O15/1000000000000,0)</f>
        <v>1.3434012063828651</v>
      </c>
      <c r="F15" s="30">
        <f>IF(A15&gt;=3,('1.Supuestos'!$B$9+'1.Supuestos'!$B$10)*O15/1000000000000,0)</f>
        <v>1.2279568863111343</v>
      </c>
      <c r="G15" s="30">
        <f>IF(A15&gt;=4,'1.Supuestos'!$B$11*O15/1000000000000,0)+IF(A15&gt;=5,'1.Supuestos'!$B$12*O15/1000000000000,0)</f>
        <v>6.1397844315556709</v>
      </c>
      <c r="H15" s="30">
        <f>IF(A15&gt;=5,'1.Supuestos'!$B$13*O15/1000000000000,0)</f>
        <v>1.9490991269350739</v>
      </c>
      <c r="I15" s="30">
        <f>IF(A15&gt;=2,('1.Supuestos'!$B$25+'1.Supuestos'!$B$26)*MIN(1,(A15-1)/5)*(1+'1.Supuestos'!$B$16)^(A15-1),0)</f>
        <v>3.4345013302079468</v>
      </c>
      <c r="J15" s="31">
        <f t="shared" si="0"/>
        <v>18.047145305838345</v>
      </c>
      <c r="K15" s="32">
        <f t="shared" si="3"/>
        <v>121.25171684206148</v>
      </c>
      <c r="L15" s="33">
        <f t="shared" si="1"/>
        <v>146.89435942629774</v>
      </c>
      <c r="M15" s="27">
        <f>'1.Supuestos'!$B$36*(1+'1.Supuestos'!$B$37)^(A15-1)</f>
        <v>599.6229009777586</v>
      </c>
      <c r="N15" s="34">
        <f t="shared" si="2"/>
        <v>0.24497790058846733</v>
      </c>
      <c r="O15" s="35">
        <f>'1.Supuestos'!$B$23*12*(1+'1.Supuestos'!$B$16)^(A15-1)</f>
        <v>4093189.6210371139</v>
      </c>
      <c r="P15" s="36">
        <f>IF(A15&gt;=1,'1.Supuestos'!$B$28,0)+IF(A15&gt;=2,'1.Supuestos'!$B$29,0)+IF(A15&gt;=3,'1.Supuestos'!$B$30+'1.Supuestos'!$B$31,0)+IF(A15&gt;=4,'1.Supuestos'!$B$33*0.5,0)+IF(A15&gt;=5,'1.Supuestos'!$B$33*0.5+'1.Supuestos'!$B$32,0)</f>
        <v>203.59999999999997</v>
      </c>
    </row>
    <row r="16" spans="1:16" ht="15" customHeight="1" x14ac:dyDescent="0.25">
      <c r="A16" s="26">
        <v>11</v>
      </c>
      <c r="B16" s="27">
        <f>P16*(1+'1.Supuestos'!$B$16)^MAX(0,A16-1)+'1.Supuestos'!$B$6*107360000/1000000000000*A16</f>
        <v>358.05550766246017</v>
      </c>
      <c r="C16" s="28">
        <f>B16*'1.Supuestos'!$B$20</f>
        <v>26.854163074684511</v>
      </c>
      <c r="D16" s="29">
        <f>IF(A16&gt;=1,'1.Supuestos'!$B$24*(1+'1.Supuestos'!$B$16)^(A16-1),0)</f>
        <v>4.090736405801251</v>
      </c>
      <c r="E16" s="30">
        <f>IF(A16&gt;=2,'1.Supuestos'!$B$8*O16/1000000000000,0)</f>
        <v>1.3904202486062651</v>
      </c>
      <c r="F16" s="30">
        <f>IF(A16&gt;=3,('1.Supuestos'!$B$9+'1.Supuestos'!$B$10)*O16/1000000000000,0)</f>
        <v>1.2709353773320238</v>
      </c>
      <c r="G16" s="30">
        <f>IF(A16&gt;=4,'1.Supuestos'!$B$11*O16/1000000000000,0)+IF(A16&gt;=5,'1.Supuestos'!$B$12*O16/1000000000000,0)</f>
        <v>6.3546768866601191</v>
      </c>
      <c r="H16" s="30">
        <f>IF(A16&gt;=5,'1.Supuestos'!$B$13*O16/1000000000000,0)</f>
        <v>2.0173175963778012</v>
      </c>
      <c r="I16" s="30">
        <f>IF(A16&gt;=2,('1.Supuestos'!$B$25+'1.Supuestos'!$B$26)*MIN(1,(A16-1)/5)*(1+'1.Supuestos'!$B$16)^(A16-1),0)</f>
        <v>3.5547088767652251</v>
      </c>
      <c r="J16" s="31">
        <f t="shared" si="0"/>
        <v>18.678795391542685</v>
      </c>
      <c r="K16" s="32">
        <f t="shared" si="3"/>
        <v>139.93051223360416</v>
      </c>
      <c r="L16" s="33">
        <f t="shared" si="1"/>
        <v>166.78467530828868</v>
      </c>
      <c r="M16" s="27">
        <f>'1.Supuestos'!$B$36*(1+'1.Supuestos'!$B$37)^(A16-1)</f>
        <v>634.40102923446852</v>
      </c>
      <c r="N16" s="34">
        <f t="shared" si="2"/>
        <v>0.26290101626970513</v>
      </c>
      <c r="O16" s="35">
        <f>'1.Supuestos'!$B$23*12*(1+'1.Supuestos'!$B$16)^(A16-1)</f>
        <v>4236451.2577734124</v>
      </c>
      <c r="P16" s="36">
        <f>IF(A16&gt;=1,'1.Supuestos'!$B$28,0)+IF(A16&gt;=2,'1.Supuestos'!$B$29,0)+IF(A16&gt;=3,'1.Supuestos'!$B$30+'1.Supuestos'!$B$31,0)+IF(A16&gt;=4,'1.Supuestos'!$B$33*0.5,0)+IF(A16&gt;=5,'1.Supuestos'!$B$33*0.5+'1.Supuestos'!$B$32,0)</f>
        <v>203.59999999999997</v>
      </c>
    </row>
    <row r="17" spans="1:16" ht="15" customHeight="1" x14ac:dyDescent="0.25">
      <c r="A17" s="26">
        <v>12</v>
      </c>
      <c r="B17" s="27">
        <f>P17*(1+'1.Supuestos'!$B$16)^MAX(0,A17-1)+'1.Supuestos'!$B$6*107360000/1000000000000*A17</f>
        <v>374.54903443064632</v>
      </c>
      <c r="C17" s="28">
        <f>B17*'1.Supuestos'!$B$20</f>
        <v>28.091177582298474</v>
      </c>
      <c r="D17" s="29">
        <f>IF(A17&gt;=1,'1.Supuestos'!$B$24*(1+'1.Supuestos'!$B$16)^(A17-1),0)</f>
        <v>4.2339121800042951</v>
      </c>
      <c r="E17" s="30">
        <f>IF(A17&gt;=2,'1.Supuestos'!$B$8*O17/1000000000000,0)</f>
        <v>1.4390849573074846</v>
      </c>
      <c r="F17" s="30">
        <f>IF(A17&gt;=3,('1.Supuestos'!$B$9+'1.Supuestos'!$B$10)*O17/1000000000000,0)</f>
        <v>1.3154181155386448</v>
      </c>
      <c r="G17" s="30">
        <f>IF(A17&gt;=4,'1.Supuestos'!$B$11*O17/1000000000000,0)+IF(A17&gt;=5,'1.Supuestos'!$B$12*O17/1000000000000,0)</f>
        <v>6.5770905776932231</v>
      </c>
      <c r="H17" s="30">
        <f>IF(A17&gt;=5,'1.Supuestos'!$B$13*O17/1000000000000,0)</f>
        <v>2.0879237122510248</v>
      </c>
      <c r="I17" s="30">
        <f>IF(A17&gt;=2,('1.Supuestos'!$B$25+'1.Supuestos'!$B$26)*MIN(1,(A17-1)/5)*(1+'1.Supuestos'!$B$16)^(A17-1),0)</f>
        <v>3.6791236874520079</v>
      </c>
      <c r="J17" s="31">
        <f t="shared" si="0"/>
        <v>19.332553230246681</v>
      </c>
      <c r="K17" s="32">
        <f t="shared" si="3"/>
        <v>159.26306546385084</v>
      </c>
      <c r="L17" s="33">
        <f t="shared" si="1"/>
        <v>187.35424304614932</v>
      </c>
      <c r="M17" s="27">
        <f>'1.Supuestos'!$B$36*(1+'1.Supuestos'!$B$37)^(A17-1)</f>
        <v>671.19628893006768</v>
      </c>
      <c r="N17" s="34">
        <f t="shared" si="2"/>
        <v>0.2791348017504755</v>
      </c>
      <c r="O17" s="35">
        <f>'1.Supuestos'!$B$23*12*(1+'1.Supuestos'!$B$16)^(A17-1)</f>
        <v>4384727.0517954826</v>
      </c>
      <c r="P17" s="36">
        <f>IF(A17&gt;=1,'1.Supuestos'!$B$28,0)+IF(A17&gt;=2,'1.Supuestos'!$B$29,0)+IF(A17&gt;=3,'1.Supuestos'!$B$30+'1.Supuestos'!$B$31,0)+IF(A17&gt;=4,'1.Supuestos'!$B$33*0.5,0)+IF(A17&gt;=5,'1.Supuestos'!$B$33*0.5+'1.Supuestos'!$B$32,0)</f>
        <v>203.59999999999997</v>
      </c>
    </row>
    <row r="18" spans="1:16" ht="15" customHeight="1" x14ac:dyDescent="0.25">
      <c r="A18" s="26">
        <v>13</v>
      </c>
      <c r="B18" s="27">
        <f>P18*(1+'1.Supuestos'!$B$16)^MAX(0,A18-1)+'1.Supuestos'!$B$6*107360000/1000000000000*A18</f>
        <v>391.39437863571891</v>
      </c>
      <c r="C18" s="28">
        <f>B18*'1.Supuestos'!$B$20</f>
        <v>29.354578397678917</v>
      </c>
      <c r="D18" s="29">
        <f>IF(A18&gt;=1,'1.Supuestos'!$B$24*(1+'1.Supuestos'!$B$16)^(A18-1),0)</f>
        <v>4.3820991063044445</v>
      </c>
      <c r="E18" s="30">
        <f>IF(A18&gt;=2,'1.Supuestos'!$B$8*O18/1000000000000,0)</f>
        <v>1.4894529308132463</v>
      </c>
      <c r="F18" s="30">
        <f>IF(A18&gt;=3,('1.Supuestos'!$B$9+'1.Supuestos'!$B$10)*O18/1000000000000,0)</f>
        <v>1.3614577495824971</v>
      </c>
      <c r="G18" s="30">
        <f>IF(A18&gt;=4,'1.Supuestos'!$B$11*O18/1000000000000,0)+IF(A18&gt;=5,'1.Supuestos'!$B$12*O18/1000000000000,0)</f>
        <v>6.8072887479124855</v>
      </c>
      <c r="H18" s="30">
        <f>IF(A18&gt;=5,'1.Supuestos'!$B$13*O18/1000000000000,0)</f>
        <v>2.1610010421798105</v>
      </c>
      <c r="I18" s="30">
        <f>IF(A18&gt;=2,('1.Supuestos'!$B$25+'1.Supuestos'!$B$26)*MIN(1,(A18-1)/5)*(1+'1.Supuestos'!$B$16)^(A18-1),0)</f>
        <v>3.807893016512828</v>
      </c>
      <c r="J18" s="31">
        <f t="shared" si="0"/>
        <v>20.009192593305315</v>
      </c>
      <c r="K18" s="32">
        <f t="shared" si="3"/>
        <v>179.27225805715614</v>
      </c>
      <c r="L18" s="33">
        <f t="shared" si="1"/>
        <v>208.62683645483506</v>
      </c>
      <c r="M18" s="27">
        <f>'1.Supuestos'!$B$36*(1+'1.Supuestos'!$B$37)^(A18-1)</f>
        <v>710.1256736880116</v>
      </c>
      <c r="N18" s="34">
        <f t="shared" si="2"/>
        <v>0.29378861261463657</v>
      </c>
      <c r="O18" s="35">
        <f>'1.Supuestos'!$B$23*12*(1+'1.Supuestos'!$B$16)^(A18-1)</f>
        <v>4538192.4986083237</v>
      </c>
      <c r="P18" s="36">
        <f>IF(A18&gt;=1,'1.Supuestos'!$B$28,0)+IF(A18&gt;=2,'1.Supuestos'!$B$29,0)+IF(A18&gt;=3,'1.Supuestos'!$B$30+'1.Supuestos'!$B$31,0)+IF(A18&gt;=4,'1.Supuestos'!$B$33*0.5,0)+IF(A18&gt;=5,'1.Supuestos'!$B$33*0.5+'1.Supuestos'!$B$32,0)</f>
        <v>203.59999999999997</v>
      </c>
    </row>
    <row r="19" spans="1:16" ht="15" customHeight="1" x14ac:dyDescent="0.25">
      <c r="A19" s="26">
        <v>14</v>
      </c>
      <c r="B19" s="27">
        <f>P19*(1+'1.Supuestos'!$B$16)^MAX(0,A19-1)+'1.Supuestos'!$B$6*107360000/1000000000000*A19</f>
        <v>408.60385388796897</v>
      </c>
      <c r="C19" s="28">
        <f>B19*'1.Supuestos'!$B$20</f>
        <v>30.645289041597671</v>
      </c>
      <c r="D19" s="29">
        <f>IF(A19&gt;=1,'1.Supuestos'!$B$24*(1+'1.Supuestos'!$B$16)^(A19-1),0)</f>
        <v>4.535472575025099</v>
      </c>
      <c r="E19" s="30">
        <f>IF(A19&gt;=2,'1.Supuestos'!$B$8*O19/1000000000000,0)</f>
        <v>1.5415837833917096</v>
      </c>
      <c r="F19" s="30">
        <f>IF(A19&gt;=3,('1.Supuestos'!$B$9+'1.Supuestos'!$B$10)*O19/1000000000000,0)</f>
        <v>1.4091087708178842</v>
      </c>
      <c r="G19" s="30">
        <f>IF(A19&gt;=4,'1.Supuestos'!$B$11*O19/1000000000000,0)+IF(A19&gt;=5,'1.Supuestos'!$B$12*O19/1000000000000,0)</f>
        <v>7.0455438540894217</v>
      </c>
      <c r="H19" s="30">
        <f>IF(A19&gt;=5,'1.Supuestos'!$B$13*O19/1000000000000,0)</f>
        <v>2.2366360786561037</v>
      </c>
      <c r="I19" s="30">
        <f>IF(A19&gt;=2,('1.Supuestos'!$B$25+'1.Supuestos'!$B$26)*MIN(1,(A19-1)/5)*(1+'1.Supuestos'!$B$16)^(A19-1),0)</f>
        <v>3.9411692720907761</v>
      </c>
      <c r="J19" s="31">
        <f t="shared" si="0"/>
        <v>20.709514334070995</v>
      </c>
      <c r="K19" s="32">
        <f t="shared" si="3"/>
        <v>199.98177239122714</v>
      </c>
      <c r="L19" s="33">
        <f t="shared" si="1"/>
        <v>230.6270614328248</v>
      </c>
      <c r="M19" s="27">
        <f>'1.Supuestos'!$B$36*(1+'1.Supuestos'!$B$37)^(A19-1)</f>
        <v>751.3129627619162</v>
      </c>
      <c r="N19" s="34">
        <f t="shared" si="2"/>
        <v>0.30696536977747885</v>
      </c>
      <c r="O19" s="35">
        <f>'1.Supuestos'!$B$23*12*(1+'1.Supuestos'!$B$16)^(A19-1)</f>
        <v>4697029.2360596145</v>
      </c>
      <c r="P19" s="36">
        <f>IF(A19&gt;=1,'1.Supuestos'!$B$28,0)+IF(A19&gt;=2,'1.Supuestos'!$B$29,0)+IF(A19&gt;=3,'1.Supuestos'!$B$30+'1.Supuestos'!$B$31,0)+IF(A19&gt;=4,'1.Supuestos'!$B$33*0.5,0)+IF(A19&gt;=5,'1.Supuestos'!$B$33*0.5+'1.Supuestos'!$B$32,0)</f>
        <v>203.59999999999997</v>
      </c>
    </row>
    <row r="20" spans="1:16" ht="15" customHeight="1" x14ac:dyDescent="0.25">
      <c r="A20" s="26">
        <v>15</v>
      </c>
      <c r="B20" s="27">
        <f>P20*(1+'1.Supuestos'!$B$16)^MAX(0,A20-1)+'1.Supuestos'!$B$6*107360000/1000000000000*A20</f>
        <v>426.19020477404797</v>
      </c>
      <c r="C20" s="28">
        <f>B20*'1.Supuestos'!$B$20</f>
        <v>31.964265358053595</v>
      </c>
      <c r="D20" s="29">
        <f>IF(A20&gt;=1,'1.Supuestos'!$B$24*(1+'1.Supuestos'!$B$16)^(A20-1),0)</f>
        <v>4.6942141151509782</v>
      </c>
      <c r="E20" s="30">
        <f>IF(A20&gt;=2,'1.Supuestos'!$B$8*O20/1000000000000,0)</f>
        <v>1.5955392158104196</v>
      </c>
      <c r="F20" s="30">
        <f>IF(A20&gt;=3,('1.Supuestos'!$B$9+'1.Supuestos'!$B$10)*O20/1000000000000,0)</f>
        <v>1.4584275777965106</v>
      </c>
      <c r="G20" s="30">
        <f>IF(A20&gt;=4,'1.Supuestos'!$B$11*O20/1000000000000,0)+IF(A20&gt;=5,'1.Supuestos'!$B$12*O20/1000000000000,0)</f>
        <v>7.2921378889825537</v>
      </c>
      <c r="H20" s="30">
        <f>IF(A20&gt;=5,'1.Supuestos'!$B$13*O20/1000000000000,0)</f>
        <v>2.3149183414090673</v>
      </c>
      <c r="I20" s="30">
        <f>IF(A20&gt;=2,('1.Supuestos'!$B$25+'1.Supuestos'!$B$26)*MIN(1,(A20-1)/5)*(1+'1.Supuestos'!$B$16)^(A20-1),0)</f>
        <v>4.0791101966139536</v>
      </c>
      <c r="J20" s="31">
        <f t="shared" si="0"/>
        <v>21.434347335763483</v>
      </c>
      <c r="K20" s="32">
        <f t="shared" si="3"/>
        <v>221.41611972699062</v>
      </c>
      <c r="L20" s="33">
        <f t="shared" si="1"/>
        <v>253.38038508504422</v>
      </c>
      <c r="M20" s="27">
        <f>'1.Supuestos'!$B$36*(1+'1.Supuestos'!$B$37)^(A20-1)</f>
        <v>794.8891146021075</v>
      </c>
      <c r="N20" s="34">
        <f t="shared" si="2"/>
        <v>0.31876192594721492</v>
      </c>
      <c r="O20" s="35">
        <f>'1.Supuestos'!$B$23*12*(1+'1.Supuestos'!$B$16)^(A20-1)</f>
        <v>4861425.2593217017</v>
      </c>
      <c r="P20" s="36">
        <f>IF(A20&gt;=1,'1.Supuestos'!$B$28,0)+IF(A20&gt;=2,'1.Supuestos'!$B$29,0)+IF(A20&gt;=3,'1.Supuestos'!$B$30+'1.Supuestos'!$B$31,0)+IF(A20&gt;=4,'1.Supuestos'!$B$33*0.5,0)+IF(A20&gt;=5,'1.Supuestos'!$B$33*0.5+'1.Supuestos'!$B$32,0)</f>
        <v>203.59999999999997</v>
      </c>
    </row>
    <row r="21" spans="1:16" ht="15" customHeight="1" x14ac:dyDescent="0.25">
      <c r="A21" s="26">
        <v>16</v>
      </c>
      <c r="B21" s="27">
        <f>P21*(1+'1.Supuestos'!$B$16)^MAX(0,A21-1)+'1.Supuestos'!$B$6*107360000/1000000000000*A21</f>
        <v>444.16662194113962</v>
      </c>
      <c r="C21" s="28">
        <f>B21*'1.Supuestos'!$B$20</f>
        <v>33.312496645585469</v>
      </c>
      <c r="D21" s="29">
        <f>IF(A21&gt;=1,'1.Supuestos'!$B$24*(1+'1.Supuestos'!$B$16)^(A21-1),0)</f>
        <v>4.8585116091812619</v>
      </c>
      <c r="E21" s="30">
        <f>IF(A21&gt;=2,'1.Supuestos'!$B$8*O21/1000000000000,0)</f>
        <v>1.6513830883637839</v>
      </c>
      <c r="F21" s="30">
        <f>IF(A21&gt;=3,('1.Supuestos'!$B$9+'1.Supuestos'!$B$10)*O21/1000000000000,0)</f>
        <v>1.509472543019388</v>
      </c>
      <c r="G21" s="30">
        <f>IF(A21&gt;=4,'1.Supuestos'!$B$11*O21/1000000000000,0)+IF(A21&gt;=5,'1.Supuestos'!$B$12*O21/1000000000000,0)</f>
        <v>7.5473627150969405</v>
      </c>
      <c r="H21" s="30">
        <f>IF(A21&gt;=5,'1.Supuestos'!$B$13*O21/1000000000000,0)</f>
        <v>2.3959404833583839</v>
      </c>
      <c r="I21" s="30">
        <f>IF(A21&gt;=2,('1.Supuestos'!$B$25+'1.Supuestos'!$B$26)*MIN(1,(A21-1)/5)*(1+'1.Supuestos'!$B$16)^(A21-1),0)</f>
        <v>4.2218790534954413</v>
      </c>
      <c r="J21" s="31">
        <f t="shared" si="0"/>
        <v>22.184549492515199</v>
      </c>
      <c r="K21" s="32">
        <f t="shared" si="3"/>
        <v>243.60066921950582</v>
      </c>
      <c r="L21" s="33">
        <f t="shared" si="1"/>
        <v>276.91316586509129</v>
      </c>
      <c r="M21" s="27">
        <f>'1.Supuestos'!$B$36*(1+'1.Supuestos'!$B$37)^(A21-1)</f>
        <v>840.99268324902971</v>
      </c>
      <c r="N21" s="34">
        <f t="shared" si="2"/>
        <v>0.3292694114713165</v>
      </c>
      <c r="O21" s="35">
        <f>'1.Supuestos'!$B$23*12*(1+'1.Supuestos'!$B$16)^(A21-1)</f>
        <v>5031575.1433979599</v>
      </c>
      <c r="P21" s="36">
        <f>IF(A21&gt;=1,'1.Supuestos'!$B$28,0)+IF(A21&gt;=2,'1.Supuestos'!$B$29,0)+IF(A21&gt;=3,'1.Supuestos'!$B$30+'1.Supuestos'!$B$31,0)+IF(A21&gt;=4,'1.Supuestos'!$B$33*0.5,0)+IF(A21&gt;=5,'1.Supuestos'!$B$33*0.5+'1.Supuestos'!$B$32,0)</f>
        <v>203.59999999999997</v>
      </c>
    </row>
    <row r="22" spans="1:16" ht="15" customHeight="1" x14ac:dyDescent="0.25">
      <c r="A22" s="26">
        <v>17</v>
      </c>
      <c r="B22" s="27">
        <f>P22*(1+'1.Supuestos'!$B$16)^MAX(0,A22-1)+'1.Supuestos'!$B$6*107360000/1000000000000*A22</f>
        <v>462.54675770907943</v>
      </c>
      <c r="C22" s="28">
        <f>B22*'1.Supuestos'!$B$20</f>
        <v>34.691006828180953</v>
      </c>
      <c r="D22" s="29">
        <f>IF(A22&gt;=1,'1.Supuestos'!$B$24*(1+'1.Supuestos'!$B$16)^(A22-1),0)</f>
        <v>5.0285595155026046</v>
      </c>
      <c r="E22" s="30">
        <f>IF(A22&gt;=2,'1.Supuestos'!$B$8*O22/1000000000000,0)</f>
        <v>1.7091814964565164</v>
      </c>
      <c r="F22" s="30">
        <f>IF(A22&gt;=3,('1.Supuestos'!$B$9+'1.Supuestos'!$B$10)*O22/1000000000000,0)</f>
        <v>1.5623040820250664</v>
      </c>
      <c r="G22" s="30">
        <f>IF(A22&gt;=4,'1.Supuestos'!$B$11*O22/1000000000000,0)+IF(A22&gt;=5,'1.Supuestos'!$B$12*O22/1000000000000,0)</f>
        <v>7.8115204101253326</v>
      </c>
      <c r="H22" s="30">
        <f>IF(A22&gt;=5,'1.Supuestos'!$B$13*O22/1000000000000,0)</f>
        <v>2.4797984002759272</v>
      </c>
      <c r="I22" s="30">
        <f>IF(A22&gt;=2,('1.Supuestos'!$B$25+'1.Supuestos'!$B$26)*MIN(1,(A22-1)/5)*(1+'1.Supuestos'!$B$16)^(A22-1),0)</f>
        <v>4.3696448203677809</v>
      </c>
      <c r="J22" s="31">
        <f t="shared" si="0"/>
        <v>22.961008724753231</v>
      </c>
      <c r="K22" s="32">
        <f t="shared" si="3"/>
        <v>266.56167794425903</v>
      </c>
      <c r="L22" s="33">
        <f t="shared" si="1"/>
        <v>301.25268477243998</v>
      </c>
      <c r="M22" s="27">
        <f>'1.Supuestos'!$B$36*(1+'1.Supuestos'!$B$37)^(A22-1)</f>
        <v>889.77025887747334</v>
      </c>
      <c r="N22" s="34">
        <f t="shared" si="2"/>
        <v>0.33857356072172812</v>
      </c>
      <c r="O22" s="35">
        <f>'1.Supuestos'!$B$23*12*(1+'1.Supuestos'!$B$16)^(A22-1)</f>
        <v>5207680.273416888</v>
      </c>
      <c r="P22" s="36">
        <f>IF(A22&gt;=1,'1.Supuestos'!$B$28,0)+IF(A22&gt;=2,'1.Supuestos'!$B$29,0)+IF(A22&gt;=3,'1.Supuestos'!$B$30+'1.Supuestos'!$B$31,0)+IF(A22&gt;=4,'1.Supuestos'!$B$33*0.5,0)+IF(A22&gt;=5,'1.Supuestos'!$B$33*0.5+'1.Supuestos'!$B$32,0)</f>
        <v>203.59999999999997</v>
      </c>
    </row>
    <row r="23" spans="1:16" ht="15" customHeight="1" x14ac:dyDescent="0.25">
      <c r="A23" s="26">
        <v>18</v>
      </c>
      <c r="B23" s="27">
        <f>P23*(1+'1.Supuestos'!$B$16)^MAX(0,A23-1)+'1.Supuestos'!$B$6*107360000/1000000000000*A23</f>
        <v>481.34474222889719</v>
      </c>
      <c r="C23" s="28">
        <f>B23*'1.Supuestos'!$B$20</f>
        <v>36.100855667167288</v>
      </c>
      <c r="D23" s="29">
        <f>IF(A23&gt;=1,'1.Supuestos'!$B$24*(1+'1.Supuestos'!$B$16)^(A23-1),0)</f>
        <v>5.2045590985451957</v>
      </c>
      <c r="E23" s="30">
        <f>IF(A23&gt;=2,'1.Supuestos'!$B$8*O23/1000000000000,0)</f>
        <v>1.769002848832494</v>
      </c>
      <c r="F23" s="30">
        <f>IF(A23&gt;=3,('1.Supuestos'!$B$9+'1.Supuestos'!$B$10)*O23/1000000000000,0)</f>
        <v>1.6169847248959437</v>
      </c>
      <c r="G23" s="30">
        <f>IF(A23&gt;=4,'1.Supuestos'!$B$11*O23/1000000000000,0)+IF(A23&gt;=5,'1.Supuestos'!$B$12*O23/1000000000000,0)</f>
        <v>8.0849236244797176</v>
      </c>
      <c r="H23" s="30">
        <f>IF(A23&gt;=5,'1.Supuestos'!$B$13*O23/1000000000000,0)</f>
        <v>2.5665913442855843</v>
      </c>
      <c r="I23" s="30">
        <f>IF(A23&gt;=2,('1.Supuestos'!$B$25+'1.Supuestos'!$B$26)*MIN(1,(A23-1)/5)*(1+'1.Supuestos'!$B$16)^(A23-1),0)</f>
        <v>4.5225823890806529</v>
      </c>
      <c r="J23" s="31">
        <f t="shared" si="0"/>
        <v>23.764644030119587</v>
      </c>
      <c r="K23" s="32">
        <f t="shared" si="3"/>
        <v>290.32632197437863</v>
      </c>
      <c r="L23" s="33">
        <f t="shared" si="1"/>
        <v>326.42717764154594</v>
      </c>
      <c r="M23" s="27">
        <f>'1.Supuestos'!$B$36*(1+'1.Supuestos'!$B$37)^(A23-1)</f>
        <v>941.37693389236676</v>
      </c>
      <c r="N23" s="34">
        <f t="shared" si="2"/>
        <v>0.34675502010852149</v>
      </c>
      <c r="O23" s="35">
        <f>'1.Supuestos'!$B$23*12*(1+'1.Supuestos'!$B$16)^(A23-1)</f>
        <v>5389949.0829864787</v>
      </c>
      <c r="P23" s="36">
        <f>IF(A23&gt;=1,'1.Supuestos'!$B$28,0)+IF(A23&gt;=2,'1.Supuestos'!$B$29,0)+IF(A23&gt;=3,'1.Supuestos'!$B$30+'1.Supuestos'!$B$31,0)+IF(A23&gt;=4,'1.Supuestos'!$B$33*0.5,0)+IF(A23&gt;=5,'1.Supuestos'!$B$33*0.5+'1.Supuestos'!$B$32,0)</f>
        <v>203.59999999999997</v>
      </c>
    </row>
    <row r="24" spans="1:16" ht="15" customHeight="1" x14ac:dyDescent="0.25">
      <c r="A24" s="26">
        <v>19</v>
      </c>
      <c r="B24" s="27">
        <f>P24*(1+'1.Supuestos'!$B$16)^MAX(0,A24-1)+'1.Supuestos'!$B$6*107360000/1000000000000*A24</f>
        <v>500.57520020690851</v>
      </c>
      <c r="C24" s="28">
        <f>B24*'1.Supuestos'!$B$20</f>
        <v>37.543140015518134</v>
      </c>
      <c r="D24" s="29">
        <f>IF(A24&gt;=1,'1.Supuestos'!$B$24*(1+'1.Supuestos'!$B$16)^(A24-1),0)</f>
        <v>5.3867186669942777</v>
      </c>
      <c r="E24" s="30">
        <f>IF(A24&gt;=2,'1.Supuestos'!$B$8*O24/1000000000000,0)</f>
        <v>1.8309179485416314</v>
      </c>
      <c r="F24" s="30">
        <f>IF(A24&gt;=3,('1.Supuestos'!$B$9+'1.Supuestos'!$B$10)*O24/1000000000000,0)</f>
        <v>1.6735791902673012</v>
      </c>
      <c r="G24" s="30">
        <f>IF(A24&gt;=4,'1.Supuestos'!$B$11*O24/1000000000000,0)+IF(A24&gt;=5,'1.Supuestos'!$B$12*O24/1000000000000,0)</f>
        <v>8.3678959513365072</v>
      </c>
      <c r="H24" s="30">
        <f>IF(A24&gt;=5,'1.Supuestos'!$B$13*O24/1000000000000,0)</f>
        <v>2.6564220413355795</v>
      </c>
      <c r="I24" s="30">
        <f>IF(A24&gt;=2,('1.Supuestos'!$B$25+'1.Supuestos'!$B$26)*MIN(1,(A24-1)/5)*(1+'1.Supuestos'!$B$16)^(A24-1),0)</f>
        <v>4.6808727726984758</v>
      </c>
      <c r="J24" s="31">
        <f t="shared" si="0"/>
        <v>24.59640657117377</v>
      </c>
      <c r="K24" s="32">
        <f t="shared" si="3"/>
        <v>314.92272854555239</v>
      </c>
      <c r="L24" s="33">
        <f t="shared" si="1"/>
        <v>352.46586856107052</v>
      </c>
      <c r="M24" s="27">
        <f>'1.Supuestos'!$B$36*(1+'1.Supuestos'!$B$37)^(A24-1)</f>
        <v>995.97679605812402</v>
      </c>
      <c r="N24" s="34">
        <f t="shared" si="2"/>
        <v>0.3538896387506813</v>
      </c>
      <c r="O24" s="35">
        <f>'1.Supuestos'!$B$23*12*(1+'1.Supuestos'!$B$16)^(A24-1)</f>
        <v>5578597.3008910045</v>
      </c>
      <c r="P24" s="36">
        <f>IF(A24&gt;=1,'1.Supuestos'!$B$28,0)+IF(A24&gt;=2,'1.Supuestos'!$B$29,0)+IF(A24&gt;=3,'1.Supuestos'!$B$30+'1.Supuestos'!$B$31,0)+IF(A24&gt;=4,'1.Supuestos'!$B$33*0.5,0)+IF(A24&gt;=5,'1.Supuestos'!$B$33*0.5+'1.Supuestos'!$B$32,0)</f>
        <v>203.59999999999997</v>
      </c>
    </row>
    <row r="25" spans="1:16" ht="15" customHeight="1" x14ac:dyDescent="0.25">
      <c r="A25" s="26">
        <v>20</v>
      </c>
      <c r="B25" s="27">
        <f>P25*(1+'1.Supuestos'!$B$16)^MAX(0,A25-1)+'1.Supuestos'!$B$6*107360000/1000000000000*A25</f>
        <v>520.25326821415024</v>
      </c>
      <c r="C25" s="28">
        <f>B25*'1.Supuestos'!$B$20</f>
        <v>39.018995116061269</v>
      </c>
      <c r="D25" s="29">
        <f>IF(A25&gt;=1,'1.Supuestos'!$B$24*(1+'1.Supuestos'!$B$16)^(A25-1),0)</f>
        <v>5.5752538203390767</v>
      </c>
      <c r="E25" s="30">
        <f>IF(A25&gt;=2,'1.Supuestos'!$B$8*O25/1000000000000,0)</f>
        <v>1.8950000767405881</v>
      </c>
      <c r="F25" s="30">
        <f>IF(A25&gt;=3,('1.Supuestos'!$B$9+'1.Supuestos'!$B$10)*O25/1000000000000,0)</f>
        <v>1.7321544619266567</v>
      </c>
      <c r="G25" s="30">
        <f>IF(A25&gt;=4,'1.Supuestos'!$B$11*O25/1000000000000,0)+IF(A25&gt;=5,'1.Supuestos'!$B$12*O25/1000000000000,0)</f>
        <v>8.660772309633284</v>
      </c>
      <c r="H25" s="30">
        <f>IF(A25&gt;=5,'1.Supuestos'!$B$13*O25/1000000000000,0)</f>
        <v>2.7493968127823245</v>
      </c>
      <c r="I25" s="30">
        <f>IF(A25&gt;=2,('1.Supuestos'!$B$25+'1.Supuestos'!$B$26)*MIN(1,(A25-1)/5)*(1+'1.Supuestos'!$B$16)^(A25-1),0)</f>
        <v>4.8447033197429219</v>
      </c>
      <c r="J25" s="31">
        <f t="shared" si="0"/>
        <v>25.457280801164856</v>
      </c>
      <c r="K25" s="32">
        <f t="shared" si="3"/>
        <v>340.38000934671726</v>
      </c>
      <c r="L25" s="33">
        <f t="shared" si="1"/>
        <v>379.39900446277852</v>
      </c>
      <c r="M25" s="27">
        <f>'1.Supuestos'!$B$36*(1+'1.Supuestos'!$B$37)^(A25-1)</f>
        <v>1053.7434502294952</v>
      </c>
      <c r="N25" s="34">
        <f t="shared" si="2"/>
        <v>0.36004874277524485</v>
      </c>
      <c r="O25" s="35">
        <f>'1.Supuestos'!$B$23*12*(1+'1.Supuestos'!$B$16)^(A25-1)</f>
        <v>5773848.2064221893</v>
      </c>
      <c r="P25" s="36">
        <f>IF(A25&gt;=1,'1.Supuestos'!$B$28,0)+IF(A25&gt;=2,'1.Supuestos'!$B$29,0)+IF(A25&gt;=3,'1.Supuestos'!$B$30+'1.Supuestos'!$B$31,0)+IF(A25&gt;=4,'1.Supuestos'!$B$33*0.5,0)+IF(A25&gt;=5,'1.Supuestos'!$B$33*0.5+'1.Supuestos'!$B$32,0)</f>
        <v>203.59999999999997</v>
      </c>
    </row>
    <row r="26" spans="1:16" ht="15" customHeight="1" x14ac:dyDescent="0.25">
      <c r="A26" s="26">
        <v>21</v>
      </c>
      <c r="B26" s="27">
        <f>P26*(1+'1.Supuestos'!$B$16)^MAX(0,A26-1)+'1.Supuestos'!$B$6*107360000/1000000000000*A26</f>
        <v>540.39461260164558</v>
      </c>
      <c r="C26" s="28">
        <f>B26*'1.Supuestos'!$B$20</f>
        <v>40.529595945123418</v>
      </c>
      <c r="D26" s="29">
        <f>IF(A26&gt;=1,'1.Supuestos'!$B$24*(1+'1.Supuestos'!$B$16)^(A26-1),0)</f>
        <v>5.7703877040509441</v>
      </c>
      <c r="E26" s="30">
        <f>IF(A26&gt;=2,'1.Supuestos'!$B$8*O26/1000000000000,0)</f>
        <v>1.9613250794265087</v>
      </c>
      <c r="F26" s="30">
        <f>IF(A26&gt;=3,('1.Supuestos'!$B$9+'1.Supuestos'!$B$10)*O26/1000000000000,0)</f>
        <v>1.7927798680940896</v>
      </c>
      <c r="G26" s="30">
        <f>IF(A26&gt;=4,'1.Supuestos'!$B$11*O26/1000000000000,0)+IF(A26&gt;=5,'1.Supuestos'!$B$12*O26/1000000000000,0)</f>
        <v>8.9638993404704479</v>
      </c>
      <c r="H26" s="30">
        <f>IF(A26&gt;=5,'1.Supuestos'!$B$13*O26/1000000000000,0)</f>
        <v>2.8456257012297055</v>
      </c>
      <c r="I26" s="30">
        <f>IF(A26&gt;=2,('1.Supuestos'!$B$25+'1.Supuestos'!$B$26)*MIN(1,(A26-1)/5)*(1+'1.Supuestos'!$B$16)^(A26-1),0)</f>
        <v>5.0142679359339235</v>
      </c>
      <c r="J26" s="31">
        <f t="shared" si="0"/>
        <v>26.34828562920562</v>
      </c>
      <c r="K26" s="32">
        <f t="shared" si="3"/>
        <v>366.72829497592289</v>
      </c>
      <c r="L26" s="33">
        <f t="shared" si="1"/>
        <v>407.25789092104628</v>
      </c>
      <c r="M26" s="27">
        <f>'1.Supuestos'!$B$36*(1+'1.Supuestos'!$B$37)^(A26-1)</f>
        <v>1114.8605703428059</v>
      </c>
      <c r="N26" s="34">
        <f t="shared" si="2"/>
        <v>0.36529939416174662</v>
      </c>
      <c r="O26" s="35">
        <f>'1.Supuestos'!$B$23*12*(1+'1.Supuestos'!$B$16)^(A26-1)</f>
        <v>5975932.8936469657</v>
      </c>
      <c r="P26" s="36">
        <f>IF(A26&gt;=1,'1.Supuestos'!$B$28,0)+IF(A26&gt;=2,'1.Supuestos'!$B$29,0)+IF(A26&gt;=3,'1.Supuestos'!$B$30+'1.Supuestos'!$B$31,0)+IF(A26&gt;=4,'1.Supuestos'!$B$33*0.5,0)+IF(A26&gt;=5,'1.Supuestos'!$B$33*0.5+'1.Supuestos'!$B$32,0)</f>
        <v>203.59999999999997</v>
      </c>
    </row>
    <row r="27" spans="1:16" ht="15" customHeight="1" x14ac:dyDescent="0.25">
      <c r="A27" s="26">
        <v>22</v>
      </c>
      <c r="B27" s="27">
        <f>P27*(1+'1.Supuestos'!$B$16)^MAX(0,A27-1)+'1.Supuestos'!$B$6*107360000/1000000000000*A27</f>
        <v>561.01544804270304</v>
      </c>
      <c r="C27" s="28">
        <f>B27*'1.Supuestos'!$B$20</f>
        <v>42.076158603202728</v>
      </c>
      <c r="D27" s="29">
        <f>IF(A27&gt;=1,'1.Supuestos'!$B$24*(1+'1.Supuestos'!$B$16)^(A27-1),0)</f>
        <v>5.972351273692726</v>
      </c>
      <c r="E27" s="30">
        <f>IF(A27&gt;=2,'1.Supuestos'!$B$8*O27/1000000000000,0)</f>
        <v>2.0299714572064365</v>
      </c>
      <c r="F27" s="30">
        <f>IF(A27&gt;=3,('1.Supuestos'!$B$9+'1.Supuestos'!$B$10)*O27/1000000000000,0)</f>
        <v>1.8555271634773827</v>
      </c>
      <c r="G27" s="30">
        <f>IF(A27&gt;=4,'1.Supuestos'!$B$11*O27/1000000000000,0)+IF(A27&gt;=5,'1.Supuestos'!$B$12*O27/1000000000000,0)</f>
        <v>9.277635817386912</v>
      </c>
      <c r="H27" s="30">
        <f>IF(A27&gt;=5,'1.Supuestos'!$B$13*O27/1000000000000,0)</f>
        <v>2.9452226007727451</v>
      </c>
      <c r="I27" s="30">
        <f>IF(A27&gt;=2,('1.Supuestos'!$B$25+'1.Supuestos'!$B$26)*MIN(1,(A27-1)/5)*(1+'1.Supuestos'!$B$16)^(A27-1),0)</f>
        <v>5.1897673136916103</v>
      </c>
      <c r="J27" s="31">
        <f t="shared" si="0"/>
        <v>27.270475626227814</v>
      </c>
      <c r="K27" s="32">
        <f t="shared" si="3"/>
        <v>393.99877060215073</v>
      </c>
      <c r="L27" s="33">
        <f t="shared" si="1"/>
        <v>436.07492920535344</v>
      </c>
      <c r="M27" s="27">
        <f>'1.Supuestos'!$B$36*(1+'1.Supuestos'!$B$37)^(A27-1)</f>
        <v>1179.5224834226888</v>
      </c>
      <c r="N27" s="34">
        <f t="shared" si="2"/>
        <v>0.36970463499768952</v>
      </c>
      <c r="O27" s="35">
        <f>'1.Supuestos'!$B$23*12*(1+'1.Supuestos'!$B$16)^(A27-1)</f>
        <v>6185090.5449246084</v>
      </c>
      <c r="P27" s="36">
        <f>IF(A27&gt;=1,'1.Supuestos'!$B$28,0)+IF(A27&gt;=2,'1.Supuestos'!$B$29,0)+IF(A27&gt;=3,'1.Supuestos'!$B$30+'1.Supuestos'!$B$31,0)+IF(A27&gt;=4,'1.Supuestos'!$B$33*0.5,0)+IF(A27&gt;=5,'1.Supuestos'!$B$33*0.5+'1.Supuestos'!$B$32,0)</f>
        <v>203.59999999999997</v>
      </c>
    </row>
    <row r="28" spans="1:16" ht="15" customHeight="1" x14ac:dyDescent="0.25">
      <c r="A28" s="26">
        <v>23</v>
      </c>
      <c r="B28" s="27">
        <f>P28*(1+'1.Supuestos'!$B$16)^MAX(0,A28-1)+'1.Supuestos'!$B$6*107360000/1000000000000*A28</f>
        <v>582.13255672419768</v>
      </c>
      <c r="C28" s="28">
        <f>B28*'1.Supuestos'!$B$20</f>
        <v>43.659941754314822</v>
      </c>
      <c r="D28" s="29">
        <f>IF(A28&gt;=1,'1.Supuestos'!$B$24*(1+'1.Supuestos'!$B$16)^(A28-1),0)</f>
        <v>6.1813835682719711</v>
      </c>
      <c r="E28" s="30">
        <f>IF(A28&gt;=2,'1.Supuestos'!$B$8*O28/1000000000000,0)</f>
        <v>2.1010204582086613</v>
      </c>
      <c r="F28" s="30">
        <f>IF(A28&gt;=3,('1.Supuestos'!$B$9+'1.Supuestos'!$B$10)*O28/1000000000000,0)</f>
        <v>1.9204706141990908</v>
      </c>
      <c r="G28" s="30">
        <f>IF(A28&gt;=4,'1.Supuestos'!$B$11*O28/1000000000000,0)+IF(A28&gt;=5,'1.Supuestos'!$B$12*O28/1000000000000,0)</f>
        <v>9.6023530709954521</v>
      </c>
      <c r="H28" s="30">
        <f>IF(A28&gt;=5,'1.Supuestos'!$B$13*O28/1000000000000,0)</f>
        <v>3.0483053917997909</v>
      </c>
      <c r="I28" s="30">
        <f>IF(A28&gt;=2,('1.Supuestos'!$B$25+'1.Supuestos'!$B$26)*MIN(1,(A28-1)/5)*(1+'1.Supuestos'!$B$16)^(A28-1),0)</f>
        <v>5.3714091696708168</v>
      </c>
      <c r="J28" s="31">
        <f t="shared" si="0"/>
        <v>28.224942273145782</v>
      </c>
      <c r="K28" s="32">
        <f t="shared" si="3"/>
        <v>422.22371287529648</v>
      </c>
      <c r="L28" s="33">
        <f t="shared" si="1"/>
        <v>465.88365462961133</v>
      </c>
      <c r="M28" s="27">
        <f>'1.Supuestos'!$B$36*(1+'1.Supuestos'!$B$37)^(A28-1)</f>
        <v>1247.9347874612047</v>
      </c>
      <c r="N28" s="34">
        <f t="shared" si="2"/>
        <v>0.37332371796238156</v>
      </c>
      <c r="O28" s="35">
        <f>'1.Supuestos'!$B$23*12*(1+'1.Supuestos'!$B$16)^(A28-1)</f>
        <v>6401568.7139969692</v>
      </c>
      <c r="P28" s="36">
        <f>IF(A28&gt;=1,'1.Supuestos'!$B$28,0)+IF(A28&gt;=2,'1.Supuestos'!$B$29,0)+IF(A28&gt;=3,'1.Supuestos'!$B$30+'1.Supuestos'!$B$31,0)+IF(A28&gt;=4,'1.Supuestos'!$B$33*0.5,0)+IF(A28&gt;=5,'1.Supuestos'!$B$33*0.5+'1.Supuestos'!$B$32,0)</f>
        <v>203.59999999999997</v>
      </c>
    </row>
    <row r="29" spans="1:16" ht="15" customHeight="1" x14ac:dyDescent="0.25">
      <c r="A29" s="26">
        <v>24</v>
      </c>
      <c r="B29" s="27">
        <f>P29*(1+'1.Supuestos'!$B$16)^MAX(0,A29-1)+'1.Supuestos'!$B$6*107360000/1000000000000*A29</f>
        <v>603.76330820954456</v>
      </c>
      <c r="C29" s="28">
        <f>B29*'1.Supuestos'!$B$20</f>
        <v>45.282248115715838</v>
      </c>
      <c r="D29" s="29">
        <f>IF(A29&gt;=1,'1.Supuestos'!$B$24*(1+'1.Supuestos'!$B$16)^(A29-1),0)</f>
        <v>6.3977319931614902</v>
      </c>
      <c r="E29" s="30">
        <f>IF(A29&gt;=2,'1.Supuestos'!$B$8*O29/1000000000000,0)</f>
        <v>2.1745561742459647</v>
      </c>
      <c r="F29" s="30">
        <f>IF(A29&gt;=3,('1.Supuestos'!$B$9+'1.Supuestos'!$B$10)*O29/1000000000000,0)</f>
        <v>1.9876870856960591</v>
      </c>
      <c r="G29" s="30">
        <f>IF(A29&gt;=4,'1.Supuestos'!$B$11*O29/1000000000000,0)+IF(A29&gt;=5,'1.Supuestos'!$B$12*O29/1000000000000,0)</f>
        <v>9.9384354284802949</v>
      </c>
      <c r="H29" s="30">
        <f>IF(A29&gt;=5,'1.Supuestos'!$B$13*O29/1000000000000,0)</f>
        <v>3.1549960805127837</v>
      </c>
      <c r="I29" s="30">
        <f>IF(A29&gt;=2,('1.Supuestos'!$B$25+'1.Supuestos'!$B$26)*MIN(1,(A29-1)/5)*(1+'1.Supuestos'!$B$16)^(A29-1),0)</f>
        <v>5.5594084906092949</v>
      </c>
      <c r="J29" s="31">
        <f t="shared" si="0"/>
        <v>29.212815252705887</v>
      </c>
      <c r="K29" s="32">
        <f t="shared" si="3"/>
        <v>451.43652812800235</v>
      </c>
      <c r="L29" s="33">
        <f t="shared" si="1"/>
        <v>496.7187762437182</v>
      </c>
      <c r="M29" s="27">
        <f>'1.Supuestos'!$B$36*(1+'1.Supuestos'!$B$37)^(A29-1)</f>
        <v>1320.3150051339546</v>
      </c>
      <c r="N29" s="34">
        <f t="shared" si="2"/>
        <v>0.37621232381080361</v>
      </c>
      <c r="O29" s="35">
        <f>'1.Supuestos'!$B$23*12*(1+'1.Supuestos'!$B$16)^(A29-1)</f>
        <v>6625623.6189868636</v>
      </c>
      <c r="P29" s="36">
        <f>IF(A29&gt;=1,'1.Supuestos'!$B$28,0)+IF(A29&gt;=2,'1.Supuestos'!$B$29,0)+IF(A29&gt;=3,'1.Supuestos'!$B$30+'1.Supuestos'!$B$31,0)+IF(A29&gt;=4,'1.Supuestos'!$B$33*0.5,0)+IF(A29&gt;=5,'1.Supuestos'!$B$33*0.5+'1.Supuestos'!$B$32,0)</f>
        <v>203.59999999999997</v>
      </c>
    </row>
    <row r="30" spans="1:16" ht="15" customHeight="1" x14ac:dyDescent="0.25">
      <c r="A30" s="26">
        <v>25</v>
      </c>
      <c r="B30" s="27">
        <f>P30*(1+'1.Supuestos'!$B$16)^MAX(0,A30-1)+'1.Supuestos'!$B$6*107360000/1000000000000*A30</f>
        <v>625.92567999687856</v>
      </c>
      <c r="C30" s="28">
        <f>B30*'1.Supuestos'!$B$20</f>
        <v>46.94442599976589</v>
      </c>
      <c r="D30" s="29">
        <f>IF(A30&gt;=1,'1.Supuestos'!$B$24*(1+'1.Supuestos'!$B$16)^(A30-1),0)</f>
        <v>6.6216526129221407</v>
      </c>
      <c r="E30" s="30">
        <f>IF(A30&gt;=2,'1.Supuestos'!$B$8*O30/1000000000000,0)</f>
        <v>2.2506656403445726</v>
      </c>
      <c r="F30" s="30">
        <f>IF(A30&gt;=3,('1.Supuestos'!$B$9+'1.Supuestos'!$B$10)*O30/1000000000000,0)</f>
        <v>2.0572561336954203</v>
      </c>
      <c r="G30" s="30">
        <f>IF(A30&gt;=4,'1.Supuestos'!$B$11*O30/1000000000000,0)+IF(A30&gt;=5,'1.Supuestos'!$B$12*O30/1000000000000,0)</f>
        <v>10.286280668477101</v>
      </c>
      <c r="H30" s="30">
        <f>IF(A30&gt;=5,'1.Supuestos'!$B$13*O30/1000000000000,0)</f>
        <v>3.2654209433307302</v>
      </c>
      <c r="I30" s="30">
        <f>IF(A30&gt;=2,('1.Supuestos'!$B$25+'1.Supuestos'!$B$26)*MIN(1,(A30-1)/5)*(1+'1.Supuestos'!$B$16)^(A30-1),0)</f>
        <v>5.7539877877806189</v>
      </c>
      <c r="J30" s="31">
        <f t="shared" si="0"/>
        <v>30.235263786550586</v>
      </c>
      <c r="K30" s="32">
        <f t="shared" si="3"/>
        <v>481.67179191455295</v>
      </c>
      <c r="L30" s="33">
        <f t="shared" si="1"/>
        <v>528.6162179143189</v>
      </c>
      <c r="M30" s="27">
        <f>'1.Supuestos'!$B$36*(1+'1.Supuestos'!$B$37)^(A30-1)</f>
        <v>1396.8932754317239</v>
      </c>
      <c r="N30" s="34">
        <f t="shared" si="2"/>
        <v>0.37842276658604773</v>
      </c>
      <c r="O30" s="35">
        <f>'1.Supuestos'!$B$23*12*(1+'1.Supuestos'!$B$16)^(A30-1)</f>
        <v>6857520.4456514018</v>
      </c>
      <c r="P30" s="36">
        <f>IF(A30&gt;=1,'1.Supuestos'!$B$28,0)+IF(A30&gt;=2,'1.Supuestos'!$B$29,0)+IF(A30&gt;=3,'1.Supuestos'!$B$30+'1.Supuestos'!$B$31,0)+IF(A30&gt;=4,'1.Supuestos'!$B$33*0.5,0)+IF(A30&gt;=5,'1.Supuestos'!$B$33*0.5+'1.Supuestos'!$B$32,0)</f>
        <v>203.59999999999997</v>
      </c>
    </row>
    <row r="31" spans="1:16" ht="15" customHeight="1" x14ac:dyDescent="0.25">
      <c r="A31" s="26">
        <v>26</v>
      </c>
      <c r="B31" s="27">
        <f>P31*(1+'1.Supuestos'!$B$16)^MAX(0,A31-1)+'1.Supuestos'!$B$6*107360000/1000000000000*A31</f>
        <v>648.63827879676921</v>
      </c>
      <c r="C31" s="28">
        <f>B31*'1.Supuestos'!$B$20</f>
        <v>48.647870909757692</v>
      </c>
      <c r="D31" s="29">
        <f>IF(A31&gt;=1,'1.Supuestos'!$B$24*(1+'1.Supuestos'!$B$16)^(A31-1),0)</f>
        <v>6.8534104543744148</v>
      </c>
      <c r="E31" s="30">
        <f>IF(A31&gt;=2,'1.Supuestos'!$B$8*O31/1000000000000,0)</f>
        <v>2.3294389377566329</v>
      </c>
      <c r="F31" s="30">
        <f>IF(A31&gt;=3,('1.Supuestos'!$B$9+'1.Supuestos'!$B$10)*O31/1000000000000,0)</f>
        <v>2.1292600983747603</v>
      </c>
      <c r="G31" s="30">
        <f>IF(A31&gt;=4,'1.Supuestos'!$B$11*O31/1000000000000,0)+IF(A31&gt;=5,'1.Supuestos'!$B$12*O31/1000000000000,0)</f>
        <v>10.646300491873802</v>
      </c>
      <c r="H31" s="30">
        <f>IF(A31&gt;=5,'1.Supuestos'!$B$13*O31/1000000000000,0)</f>
        <v>3.3797106763473055</v>
      </c>
      <c r="I31" s="30">
        <f>IF(A31&gt;=2,('1.Supuestos'!$B$25+'1.Supuestos'!$B$26)*MIN(1,(A31-1)/5)*(1+'1.Supuestos'!$B$16)^(A31-1),0)</f>
        <v>5.9553773603529399</v>
      </c>
      <c r="J31" s="31">
        <f t="shared" si="0"/>
        <v>31.293498019079856</v>
      </c>
      <c r="K31" s="32">
        <f t="shared" si="3"/>
        <v>512.96528993363279</v>
      </c>
      <c r="L31" s="33">
        <f t="shared" si="1"/>
        <v>561.61316084339046</v>
      </c>
      <c r="M31" s="27">
        <f>'1.Supuestos'!$B$36*(1+'1.Supuestos'!$B$37)^(A31-1)</f>
        <v>1477.9130854067639</v>
      </c>
      <c r="N31" s="34">
        <f t="shared" si="2"/>
        <v>0.3800041872481415</v>
      </c>
      <c r="O31" s="35">
        <f>'1.Supuestos'!$B$23*12*(1+'1.Supuestos'!$B$16)^(A31-1)</f>
        <v>7097533.6612492008</v>
      </c>
      <c r="P31" s="36">
        <f>IF(A31&gt;=1,'1.Supuestos'!$B$28,0)+IF(A31&gt;=2,'1.Supuestos'!$B$29,0)+IF(A31&gt;=3,'1.Supuestos'!$B$30+'1.Supuestos'!$B$31,0)+IF(A31&gt;=4,'1.Supuestos'!$B$33*0.5,0)+IF(A31&gt;=5,'1.Supuestos'!$B$33*0.5+'1.Supuestos'!$B$32,0)</f>
        <v>203.59999999999997</v>
      </c>
    </row>
    <row r="32" spans="1:16" ht="15" customHeight="1" x14ac:dyDescent="0.25">
      <c r="A32" s="26">
        <v>27</v>
      </c>
      <c r="B32" s="27">
        <f>P32*(1+'1.Supuestos'!$B$16)^MAX(0,A32-1)+'1.Supuestos'!$B$6*107360000/1000000000000*A32</f>
        <v>671.92036255465609</v>
      </c>
      <c r="C32" s="28">
        <f>B32*'1.Supuestos'!$B$20</f>
        <v>50.394027191599207</v>
      </c>
      <c r="D32" s="29">
        <f>IF(A32&gt;=1,'1.Supuestos'!$B$24*(1+'1.Supuestos'!$B$16)^(A32-1),0)</f>
        <v>7.0932798202775196</v>
      </c>
      <c r="E32" s="30">
        <f>IF(A32&gt;=2,'1.Supuestos'!$B$8*O32/1000000000000,0)</f>
        <v>2.4109693005781145</v>
      </c>
      <c r="F32" s="30">
        <f>IF(A32&gt;=3,('1.Supuestos'!$B$9+'1.Supuestos'!$B$10)*O32/1000000000000,0)</f>
        <v>2.2037842018178768</v>
      </c>
      <c r="G32" s="30">
        <f>IF(A32&gt;=4,'1.Supuestos'!$B$11*O32/1000000000000,0)+IF(A32&gt;=5,'1.Supuestos'!$B$12*O32/1000000000000,0)</f>
        <v>11.018921009089384</v>
      </c>
      <c r="H32" s="30">
        <f>IF(A32&gt;=5,'1.Supuestos'!$B$13*O32/1000000000000,0)</f>
        <v>3.4980005500194613</v>
      </c>
      <c r="I32" s="30">
        <f>IF(A32&gt;=2,('1.Supuestos'!$B$25+'1.Supuestos'!$B$26)*MIN(1,(A32-1)/5)*(1+'1.Supuestos'!$B$16)^(A32-1),0)</f>
        <v>6.1638155679652931</v>
      </c>
      <c r="J32" s="31">
        <f t="shared" si="0"/>
        <v>32.388770449747653</v>
      </c>
      <c r="K32" s="32">
        <f t="shared" si="3"/>
        <v>545.35406038338044</v>
      </c>
      <c r="L32" s="33">
        <f t="shared" si="1"/>
        <v>595.74808757497965</v>
      </c>
      <c r="M32" s="27">
        <f>'1.Supuestos'!$B$36*(1+'1.Supuestos'!$B$37)^(A32-1)</f>
        <v>1563.6320443603561</v>
      </c>
      <c r="N32" s="34">
        <f t="shared" si="2"/>
        <v>0.38100273636863569</v>
      </c>
      <c r="O32" s="35">
        <f>'1.Supuestos'!$B$23*12*(1+'1.Supuestos'!$B$16)^(A32-1)</f>
        <v>7345947.3393929228</v>
      </c>
      <c r="P32" s="36">
        <f>IF(A32&gt;=1,'1.Supuestos'!$B$28,0)+IF(A32&gt;=2,'1.Supuestos'!$B$29,0)+IF(A32&gt;=3,'1.Supuestos'!$B$30+'1.Supuestos'!$B$31,0)+IF(A32&gt;=4,'1.Supuestos'!$B$33*0.5,0)+IF(A32&gt;=5,'1.Supuestos'!$B$33*0.5+'1.Supuestos'!$B$32,0)</f>
        <v>203.59999999999997</v>
      </c>
    </row>
    <row r="33" spans="1:16" ht="15" customHeight="1" x14ac:dyDescent="0.25">
      <c r="A33" s="26">
        <v>28</v>
      </c>
      <c r="B33" s="27">
        <f>P33*(1+'1.Supuestos'!$B$16)^MAX(0,A33-1)+'1.Supuestos'!$B$6*107360000/1000000000000*A33</f>
        <v>695.79186324406919</v>
      </c>
      <c r="C33" s="28">
        <f>B33*'1.Supuestos'!$B$20</f>
        <v>52.184389743305189</v>
      </c>
      <c r="D33" s="29">
        <f>IF(A33&gt;=1,'1.Supuestos'!$B$24*(1+'1.Supuestos'!$B$16)^(A33-1),0)</f>
        <v>7.3415446139872325</v>
      </c>
      <c r="E33" s="30">
        <f>IF(A33&gt;=2,'1.Supuestos'!$B$8*O33/1000000000000,0)</f>
        <v>2.4953532260983486</v>
      </c>
      <c r="F33" s="30">
        <f>IF(A33&gt;=3,('1.Supuestos'!$B$9+'1.Supuestos'!$B$10)*O33/1000000000000,0)</f>
        <v>2.2809166488815023</v>
      </c>
      <c r="G33" s="30">
        <f>IF(A33&gt;=4,'1.Supuestos'!$B$11*O33/1000000000000,0)+IF(A33&gt;=5,'1.Supuestos'!$B$12*O33/1000000000000,0)</f>
        <v>11.404583244407512</v>
      </c>
      <c r="H33" s="30">
        <f>IF(A33&gt;=5,'1.Supuestos'!$B$13*O33/1000000000000,0)</f>
        <v>3.620430569270142</v>
      </c>
      <c r="I33" s="30">
        <f>IF(A33&gt;=2,('1.Supuestos'!$B$25+'1.Supuestos'!$B$26)*MIN(1,(A33-1)/5)*(1+'1.Supuestos'!$B$16)^(A33-1),0)</f>
        <v>6.3795491128440789</v>
      </c>
      <c r="J33" s="31">
        <f t="shared" si="0"/>
        <v>33.522377415488819</v>
      </c>
      <c r="K33" s="32">
        <f t="shared" si="3"/>
        <v>578.87643779886923</v>
      </c>
      <c r="L33" s="33">
        <f t="shared" si="1"/>
        <v>631.06082754217437</v>
      </c>
      <c r="M33" s="27">
        <f>'1.Supuestos'!$B$36*(1+'1.Supuestos'!$B$37)^(A33-1)</f>
        <v>1654.322702933257</v>
      </c>
      <c r="N33" s="34">
        <f t="shared" si="2"/>
        <v>0.38146174650402187</v>
      </c>
      <c r="O33" s="35">
        <f>'1.Supuestos'!$B$23*12*(1+'1.Supuestos'!$B$16)^(A33-1)</f>
        <v>7603055.4962716745</v>
      </c>
      <c r="P33" s="36">
        <f>IF(A33&gt;=1,'1.Supuestos'!$B$28,0)+IF(A33&gt;=2,'1.Supuestos'!$B$29,0)+IF(A33&gt;=3,'1.Supuestos'!$B$30+'1.Supuestos'!$B$31,0)+IF(A33&gt;=4,'1.Supuestos'!$B$33*0.5,0)+IF(A33&gt;=5,'1.Supuestos'!$B$33*0.5+'1.Supuestos'!$B$32,0)</f>
        <v>203.59999999999997</v>
      </c>
    </row>
    <row r="34" spans="1:16" ht="15" customHeight="1" x14ac:dyDescent="0.25">
      <c r="A34" s="26">
        <v>29</v>
      </c>
      <c r="B34" s="27">
        <f>P34*(1+'1.Supuestos'!$B$16)^MAX(0,A34-1)+'1.Supuestos'!$B$6*107360000/1000000000000*A34</f>
        <v>720.27341045761159</v>
      </c>
      <c r="C34" s="28">
        <f>B34*'1.Supuestos'!$B$20</f>
        <v>54.020505784320868</v>
      </c>
      <c r="D34" s="29">
        <f>IF(A34&gt;=1,'1.Supuestos'!$B$24*(1+'1.Supuestos'!$B$16)^(A34-1),0)</f>
        <v>7.5984986754767858</v>
      </c>
      <c r="E34" s="30">
        <f>IF(A34&gt;=2,'1.Supuestos'!$B$8*O34/1000000000000,0)</f>
        <v>2.5826905890117908</v>
      </c>
      <c r="F34" s="30">
        <f>IF(A34&gt;=3,('1.Supuestos'!$B$9+'1.Supuestos'!$B$10)*O34/1000000000000,0)</f>
        <v>2.3607487315923548</v>
      </c>
      <c r="G34" s="30">
        <f>IF(A34&gt;=4,'1.Supuestos'!$B$11*O34/1000000000000,0)+IF(A34&gt;=5,'1.Supuestos'!$B$12*O34/1000000000000,0)</f>
        <v>11.803743657961773</v>
      </c>
      <c r="H34" s="30">
        <f>IF(A34&gt;=5,'1.Supuestos'!$B$13*O34/1000000000000,0)</f>
        <v>3.747145639194597</v>
      </c>
      <c r="I34" s="30">
        <f>IF(A34&gt;=2,('1.Supuestos'!$B$25+'1.Supuestos'!$B$26)*MIN(1,(A34-1)/5)*(1+'1.Supuestos'!$B$16)^(A34-1),0)</f>
        <v>6.6028333317936214</v>
      </c>
      <c r="J34" s="31">
        <f t="shared" si="0"/>
        <v>34.695660625030925</v>
      </c>
      <c r="K34" s="32">
        <f t="shared" si="3"/>
        <v>613.57209842390012</v>
      </c>
      <c r="L34" s="33">
        <f t="shared" si="1"/>
        <v>667.59260420822102</v>
      </c>
      <c r="M34" s="27">
        <f>'1.Supuestos'!$B$36*(1+'1.Supuestos'!$B$37)^(A34-1)</f>
        <v>1750.2734197033858</v>
      </c>
      <c r="N34" s="34">
        <f t="shared" si="2"/>
        <v>0.38142189482678435</v>
      </c>
      <c r="O34" s="35">
        <f>'1.Supuestos'!$B$23*12*(1+'1.Supuestos'!$B$16)^(A34-1)</f>
        <v>7869162.4386411831</v>
      </c>
      <c r="P34" s="36">
        <f>IF(A34&gt;=1,'1.Supuestos'!$B$28,0)+IF(A34&gt;=2,'1.Supuestos'!$B$29,0)+IF(A34&gt;=3,'1.Supuestos'!$B$30+'1.Supuestos'!$B$31,0)+IF(A34&gt;=4,'1.Supuestos'!$B$33*0.5,0)+IF(A34&gt;=5,'1.Supuestos'!$B$33*0.5+'1.Supuestos'!$B$32,0)</f>
        <v>203.59999999999997</v>
      </c>
    </row>
    <row r="35" spans="1:16" ht="15" customHeight="1" x14ac:dyDescent="0.25">
      <c r="A35" s="26">
        <v>30</v>
      </c>
      <c r="B35" s="27">
        <f>P35*(1+'1.Supuestos'!$B$16)^MAX(0,A35-1)+'1.Supuestos'!$B$6*107360000/1000000000000*A35</f>
        <v>745.38635582362781</v>
      </c>
      <c r="C35" s="28">
        <f>B35*'1.Supuestos'!$B$20</f>
        <v>55.903976686772083</v>
      </c>
      <c r="D35" s="29">
        <f>IF(A35&gt;=1,'1.Supuestos'!$B$24*(1+'1.Supuestos'!$B$16)^(A35-1),0)</f>
        <v>7.8644461291184715</v>
      </c>
      <c r="E35" s="30">
        <f>IF(A35&gt;=2,'1.Supuestos'!$B$8*O35/1000000000000,0)</f>
        <v>2.6730847596272032</v>
      </c>
      <c r="F35" s="30">
        <f>IF(A35&gt;=3,('1.Supuestos'!$B$9+'1.Supuestos'!$B$10)*O35/1000000000000,0)</f>
        <v>2.4433749371980871</v>
      </c>
      <c r="G35" s="30">
        <f>IF(A35&gt;=4,'1.Supuestos'!$B$11*O35/1000000000000,0)+IF(A35&gt;=5,'1.Supuestos'!$B$12*O35/1000000000000,0)</f>
        <v>12.216874685990435</v>
      </c>
      <c r="H35" s="30">
        <f>IF(A35&gt;=5,'1.Supuestos'!$B$13*O35/1000000000000,0)</f>
        <v>3.878295736566407</v>
      </c>
      <c r="I35" s="30">
        <f>IF(A35&gt;=2,('1.Supuestos'!$B$25+'1.Supuestos'!$B$26)*MIN(1,(A35-1)/5)*(1+'1.Supuestos'!$B$16)^(A35-1),0)</f>
        <v>6.833932498406396</v>
      </c>
      <c r="J35" s="31">
        <f t="shared" si="0"/>
        <v>35.910008746907003</v>
      </c>
      <c r="K35" s="32">
        <f t="shared" si="3"/>
        <v>649.48210717080713</v>
      </c>
      <c r="L35" s="33">
        <f t="shared" si="1"/>
        <v>705.38608385757925</v>
      </c>
      <c r="M35" s="27">
        <f>'1.Supuestos'!$B$36*(1+'1.Supuestos'!$B$37)^(A35-1)</f>
        <v>1851.7892780461818</v>
      </c>
      <c r="N35" s="34">
        <f t="shared" si="2"/>
        <v>0.3809213565605209</v>
      </c>
      <c r="O35" s="35">
        <f>'1.Supuestos'!$B$23*12*(1+'1.Supuestos'!$B$16)^(A35-1)</f>
        <v>8144583.1239936231</v>
      </c>
      <c r="P35" s="36">
        <f>IF(A35&gt;=1,'1.Supuestos'!$B$28,0)+IF(A35&gt;=2,'1.Supuestos'!$B$29,0)+IF(A35&gt;=3,'1.Supuestos'!$B$30+'1.Supuestos'!$B$31,0)+IF(A35&gt;=4,'1.Supuestos'!$B$33*0.5,0)+IF(A35&gt;=5,'1.Supuestos'!$B$33*0.5+'1.Supuestos'!$B$32,0)</f>
        <v>203.59999999999997</v>
      </c>
    </row>
    <row r="38" spans="1:16" ht="15" customHeight="1" x14ac:dyDescent="0.25">
      <c r="A38" s="24" t="s">
        <v>107</v>
      </c>
    </row>
    <row r="39" spans="1:16" ht="15" customHeight="1" x14ac:dyDescent="0.25">
      <c r="A39" s="1" t="s">
        <v>108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</sheetData>
  <mergeCells count="8">
    <mergeCell ref="A39:P44"/>
    <mergeCell ref="A1:P1"/>
    <mergeCell ref="A2:P2"/>
    <mergeCell ref="B4:C4"/>
    <mergeCell ref="D4:I4"/>
    <mergeCell ref="J4:K4"/>
    <mergeCell ref="L4:N4"/>
    <mergeCell ref="O4:P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topLeftCell="A3" zoomScaleNormal="100" workbookViewId="0">
      <selection sqref="A1:F1"/>
    </sheetView>
  </sheetViews>
  <sheetFormatPr baseColWidth="10" defaultColWidth="8.7109375" defaultRowHeight="15" x14ac:dyDescent="0.25"/>
  <cols>
    <col min="1" max="1" width="32" customWidth="1"/>
    <col min="2" max="2" width="7" customWidth="1"/>
    <col min="3" max="4" width="15" customWidth="1"/>
    <col min="5" max="5" width="12" customWidth="1"/>
    <col min="6" max="6" width="40" customWidth="1"/>
  </cols>
  <sheetData>
    <row r="1" spans="1:6" ht="24" customHeight="1" x14ac:dyDescent="0.25">
      <c r="A1" s="12" t="s">
        <v>109</v>
      </c>
      <c r="B1" s="12"/>
      <c r="C1" s="12"/>
      <c r="D1" s="12"/>
      <c r="E1" s="12"/>
      <c r="F1" s="12"/>
    </row>
    <row r="2" spans="1:6" ht="15" customHeight="1" x14ac:dyDescent="0.25">
      <c r="A2" s="11" t="s">
        <v>110</v>
      </c>
      <c r="B2" s="11"/>
      <c r="C2" s="11"/>
      <c r="D2" s="11"/>
      <c r="E2" s="11"/>
      <c r="F2" s="11"/>
    </row>
    <row r="4" spans="1:6" ht="15" customHeight="1" x14ac:dyDescent="0.25">
      <c r="A4" s="13" t="s">
        <v>111</v>
      </c>
      <c r="B4" s="13" t="s">
        <v>91</v>
      </c>
      <c r="C4" s="13" t="s">
        <v>112</v>
      </c>
      <c r="D4" s="13" t="s">
        <v>113</v>
      </c>
      <c r="E4" s="13" t="s">
        <v>114</v>
      </c>
      <c r="F4" s="13" t="s">
        <v>115</v>
      </c>
    </row>
    <row r="5" spans="1:6" ht="15" customHeight="1" x14ac:dyDescent="0.25">
      <c r="A5" s="37" t="s">
        <v>116</v>
      </c>
      <c r="B5" s="38">
        <v>5</v>
      </c>
      <c r="C5" s="39">
        <v>14.6</v>
      </c>
      <c r="D5" s="40">
        <f>'2.Tabla C (30 años)'!C10</f>
        <v>19.938276219543742</v>
      </c>
      <c r="E5" s="41">
        <f>D5-C5</f>
        <v>5.3382762195437419</v>
      </c>
      <c r="F5" s="37" t="s">
        <v>117</v>
      </c>
    </row>
    <row r="6" spans="1:6" ht="15" customHeight="1" x14ac:dyDescent="0.25">
      <c r="A6" s="37" t="s">
        <v>118</v>
      </c>
      <c r="B6" s="38">
        <v>5</v>
      </c>
      <c r="C6" s="39">
        <v>38.6</v>
      </c>
      <c r="D6" s="40">
        <f>'2.Tabla C (30 años)'!K10</f>
        <v>36.9159773385446</v>
      </c>
      <c r="E6" s="41">
        <f>D6-C6</f>
        <v>-1.6840226614554012</v>
      </c>
      <c r="F6" s="37" t="s">
        <v>119</v>
      </c>
    </row>
    <row r="7" spans="1:6" ht="15" customHeight="1" x14ac:dyDescent="0.25">
      <c r="A7" s="42" t="s">
        <v>89</v>
      </c>
      <c r="B7" s="43">
        <v>5</v>
      </c>
      <c r="C7" s="44">
        <v>53.2</v>
      </c>
      <c r="D7" s="45">
        <f>'2.Tabla C (30 años)'!L10</f>
        <v>56.854253558088345</v>
      </c>
      <c r="E7" s="46">
        <f>D7-C7</f>
        <v>3.6542535580883424</v>
      </c>
      <c r="F7" s="47" t="s">
        <v>120</v>
      </c>
    </row>
    <row r="8" spans="1:6" ht="15" customHeight="1" x14ac:dyDescent="0.25">
      <c r="A8" s="37"/>
      <c r="B8" s="37"/>
      <c r="C8" s="37"/>
      <c r="D8" s="37"/>
      <c r="E8" s="37"/>
      <c r="F8" s="37"/>
    </row>
    <row r="9" spans="1:6" ht="15" customHeight="1" x14ac:dyDescent="0.25">
      <c r="A9" s="37" t="s">
        <v>116</v>
      </c>
      <c r="B9" s="38">
        <v>10</v>
      </c>
      <c r="C9" s="39">
        <v>24.2</v>
      </c>
      <c r="D9" s="40">
        <f>'2.Tabla C (30 años)'!C15</f>
        <v>25.642642584236246</v>
      </c>
      <c r="E9" s="41">
        <f>D9-C9</f>
        <v>1.4426425842362463</v>
      </c>
      <c r="F9" s="37" t="s">
        <v>121</v>
      </c>
    </row>
    <row r="10" spans="1:6" ht="15" customHeight="1" x14ac:dyDescent="0.25">
      <c r="A10" s="37" t="s">
        <v>118</v>
      </c>
      <c r="B10" s="38">
        <v>10</v>
      </c>
      <c r="C10" s="39">
        <v>128.9</v>
      </c>
      <c r="D10" s="40">
        <f>'2.Tabla C (30 años)'!K15</f>
        <v>121.25171684206148</v>
      </c>
      <c r="E10" s="41">
        <f>D10-C10</f>
        <v>-7.648283157938522</v>
      </c>
      <c r="F10" s="37" t="s">
        <v>122</v>
      </c>
    </row>
    <row r="11" spans="1:6" ht="15" customHeight="1" x14ac:dyDescent="0.25">
      <c r="A11" s="42" t="s">
        <v>89</v>
      </c>
      <c r="B11" s="43">
        <v>10</v>
      </c>
      <c r="C11" s="44">
        <v>153.1</v>
      </c>
      <c r="D11" s="45">
        <f>'2.Tabla C (30 años)'!L15</f>
        <v>146.89435942629774</v>
      </c>
      <c r="E11" s="46">
        <f>D11-C11</f>
        <v>-6.2056405737022544</v>
      </c>
      <c r="F11" s="47" t="s">
        <v>120</v>
      </c>
    </row>
    <row r="12" spans="1:6" ht="15" customHeight="1" x14ac:dyDescent="0.25">
      <c r="A12" s="37"/>
      <c r="B12" s="37"/>
      <c r="C12" s="37"/>
      <c r="D12" s="37"/>
      <c r="E12" s="37"/>
      <c r="F12" s="37"/>
    </row>
    <row r="13" spans="1:6" ht="15" customHeight="1" x14ac:dyDescent="0.25">
      <c r="A13" s="10" t="s">
        <v>123</v>
      </c>
      <c r="B13" s="10"/>
      <c r="C13" s="10"/>
      <c r="D13" s="10"/>
      <c r="E13" s="10"/>
      <c r="F13" s="10"/>
    </row>
    <row r="14" spans="1:6" ht="15" customHeight="1" x14ac:dyDescent="0.25">
      <c r="A14" s="37" t="s">
        <v>116</v>
      </c>
      <c r="B14" s="38">
        <v>20</v>
      </c>
      <c r="C14" s="37"/>
      <c r="D14" s="40">
        <f>'2.Tabla C (30 años)'!C25</f>
        <v>39.018995116061269</v>
      </c>
      <c r="E14" s="37" t="s">
        <v>124</v>
      </c>
      <c r="F14" s="37" t="s">
        <v>125</v>
      </c>
    </row>
    <row r="15" spans="1:6" ht="15" customHeight="1" x14ac:dyDescent="0.25">
      <c r="A15" s="37" t="s">
        <v>118</v>
      </c>
      <c r="B15" s="38">
        <v>20</v>
      </c>
      <c r="C15" s="37"/>
      <c r="D15" s="40">
        <f>'2.Tabla C (30 años)'!K25</f>
        <v>340.38000934671726</v>
      </c>
      <c r="E15" s="37"/>
      <c r="F15" s="37"/>
    </row>
    <row r="16" spans="1:6" ht="15" customHeight="1" x14ac:dyDescent="0.25">
      <c r="A16" s="42" t="s">
        <v>89</v>
      </c>
      <c r="B16" s="43">
        <v>20</v>
      </c>
      <c r="C16" s="47"/>
      <c r="D16" s="45">
        <f>'2.Tabla C (30 años)'!L25</f>
        <v>379.39900446277852</v>
      </c>
      <c r="E16" s="47"/>
      <c r="F16" s="47"/>
    </row>
    <row r="17" spans="1:6" ht="15" customHeight="1" x14ac:dyDescent="0.25">
      <c r="A17" s="37"/>
      <c r="B17" s="37"/>
      <c r="C17" s="37"/>
      <c r="D17" s="37"/>
      <c r="E17" s="37"/>
      <c r="F17" s="37"/>
    </row>
    <row r="18" spans="1:6" ht="15" customHeight="1" x14ac:dyDescent="0.25">
      <c r="A18" s="37" t="s">
        <v>116</v>
      </c>
      <c r="B18" s="38">
        <v>30</v>
      </c>
      <c r="C18" s="37"/>
      <c r="D18" s="40">
        <f>'2.Tabla C (30 años)'!C35</f>
        <v>55.903976686772083</v>
      </c>
      <c r="E18" s="37"/>
      <c r="F18" s="37"/>
    </row>
    <row r="19" spans="1:6" ht="15" customHeight="1" x14ac:dyDescent="0.25">
      <c r="A19" s="37" t="s">
        <v>118</v>
      </c>
      <c r="B19" s="38">
        <v>30</v>
      </c>
      <c r="C19" s="37"/>
      <c r="D19" s="40">
        <f>'2.Tabla C (30 años)'!K35</f>
        <v>649.48210717080713</v>
      </c>
      <c r="E19" s="37"/>
      <c r="F19" s="37"/>
    </row>
    <row r="20" spans="1:6" ht="15" customHeight="1" x14ac:dyDescent="0.25">
      <c r="A20" s="42" t="s">
        <v>89</v>
      </c>
      <c r="B20" s="43">
        <v>30</v>
      </c>
      <c r="C20" s="47"/>
      <c r="D20" s="45">
        <f>'2.Tabla C (30 años)'!L35</f>
        <v>705.38608385757925</v>
      </c>
      <c r="E20" s="47"/>
      <c r="F20" s="47"/>
    </row>
    <row r="23" spans="1:6" ht="15" customHeight="1" x14ac:dyDescent="0.25">
      <c r="A23" s="20" t="s">
        <v>126</v>
      </c>
    </row>
    <row r="24" spans="1:6" ht="99.75" customHeight="1" x14ac:dyDescent="0.25">
      <c r="A24" s="9" t="s">
        <v>127</v>
      </c>
      <c r="B24" s="9"/>
      <c r="C24" s="9"/>
      <c r="D24" s="9"/>
      <c r="E24" s="9"/>
      <c r="F24" s="9"/>
    </row>
    <row r="25" spans="1:6" ht="15" customHeight="1" x14ac:dyDescent="0.25"/>
    <row r="26" spans="1:6" ht="15" customHeight="1" x14ac:dyDescent="0.25">
      <c r="A26" s="8" t="s">
        <v>128</v>
      </c>
      <c r="B26" s="8"/>
      <c r="C26" s="8"/>
      <c r="D26" s="8"/>
      <c r="E26" s="8"/>
      <c r="F26" s="8"/>
    </row>
    <row r="27" spans="1:6" ht="84.75" customHeight="1" x14ac:dyDescent="0.25">
      <c r="A27" s="9" t="s">
        <v>129</v>
      </c>
      <c r="B27" s="9"/>
      <c r="C27" s="9"/>
      <c r="D27" s="9"/>
      <c r="E27" s="9"/>
      <c r="F27" s="9"/>
    </row>
    <row r="28" spans="1:6" ht="15" customHeight="1" x14ac:dyDescent="0.25"/>
  </sheetData>
  <mergeCells count="6">
    <mergeCell ref="A27:F27"/>
    <mergeCell ref="A1:F1"/>
    <mergeCell ref="A2:F2"/>
    <mergeCell ref="A13:F13"/>
    <mergeCell ref="A24:F24"/>
    <mergeCell ref="A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opLeftCell="A21" zoomScaleNormal="100" workbookViewId="0">
      <selection sqref="A1:C1"/>
    </sheetView>
  </sheetViews>
  <sheetFormatPr baseColWidth="10" defaultColWidth="8.7109375" defaultRowHeight="15" x14ac:dyDescent="0.25"/>
  <cols>
    <col min="1" max="1" width="40" customWidth="1"/>
    <col min="2" max="3" width="45" customWidth="1"/>
  </cols>
  <sheetData>
    <row r="1" spans="1:3" ht="24" customHeight="1" x14ac:dyDescent="0.25">
      <c r="A1" s="12" t="s">
        <v>130</v>
      </c>
      <c r="B1" s="12"/>
      <c r="C1" s="12"/>
    </row>
    <row r="2" spans="1:3" ht="15" customHeight="1" x14ac:dyDescent="0.25">
      <c r="A2" s="52" t="s">
        <v>131</v>
      </c>
      <c r="B2" s="52"/>
      <c r="C2" s="52"/>
    </row>
    <row r="4" spans="1:3" ht="15" customHeight="1" x14ac:dyDescent="0.25">
      <c r="A4" s="48" t="s">
        <v>132</v>
      </c>
      <c r="B4" s="48" t="s">
        <v>133</v>
      </c>
      <c r="C4" s="48" t="s">
        <v>134</v>
      </c>
    </row>
    <row r="5" spans="1:3" ht="54.75" customHeight="1" x14ac:dyDescent="0.25">
      <c r="A5" s="49" t="s">
        <v>135</v>
      </c>
      <c r="B5" s="50" t="s">
        <v>136</v>
      </c>
      <c r="C5" s="50" t="s">
        <v>137</v>
      </c>
    </row>
    <row r="6" spans="1:3" ht="54.75" customHeight="1" x14ac:dyDescent="0.25">
      <c r="A6" s="49" t="s">
        <v>138</v>
      </c>
      <c r="B6" s="50" t="s">
        <v>139</v>
      </c>
      <c r="C6" s="50" t="s">
        <v>140</v>
      </c>
    </row>
    <row r="7" spans="1:3" ht="54.75" customHeight="1" x14ac:dyDescent="0.25">
      <c r="A7" s="49" t="s">
        <v>141</v>
      </c>
      <c r="B7" s="50" t="s">
        <v>142</v>
      </c>
      <c r="C7" s="50" t="s">
        <v>143</v>
      </c>
    </row>
    <row r="8" spans="1:3" ht="54.75" customHeight="1" x14ac:dyDescent="0.25">
      <c r="A8" s="49" t="s">
        <v>144</v>
      </c>
      <c r="B8" s="50" t="s">
        <v>145</v>
      </c>
      <c r="C8" s="50" t="s">
        <v>146</v>
      </c>
    </row>
    <row r="9" spans="1:3" ht="54.75" customHeight="1" x14ac:dyDescent="0.25">
      <c r="A9" s="49" t="s">
        <v>147</v>
      </c>
      <c r="B9" s="50" t="s">
        <v>148</v>
      </c>
      <c r="C9" s="50" t="s">
        <v>149</v>
      </c>
    </row>
    <row r="10" spans="1:3" ht="54.75" customHeight="1" x14ac:dyDescent="0.25">
      <c r="A10" s="49" t="s">
        <v>150</v>
      </c>
      <c r="B10" s="50" t="s">
        <v>151</v>
      </c>
      <c r="C10" s="50" t="s">
        <v>152</v>
      </c>
    </row>
    <row r="11" spans="1:3" ht="54.75" customHeight="1" x14ac:dyDescent="0.25">
      <c r="A11" s="49" t="s">
        <v>153</v>
      </c>
      <c r="B11" s="50" t="s">
        <v>154</v>
      </c>
      <c r="C11" s="50" t="s">
        <v>155</v>
      </c>
    </row>
    <row r="12" spans="1:3" ht="54.75" customHeight="1" x14ac:dyDescent="0.25">
      <c r="A12" s="49" t="s">
        <v>156</v>
      </c>
      <c r="B12" s="50" t="s">
        <v>157</v>
      </c>
      <c r="C12" s="50" t="s">
        <v>158</v>
      </c>
    </row>
    <row r="13" spans="1:3" ht="54.75" customHeight="1" x14ac:dyDescent="0.25">
      <c r="A13" s="49" t="s">
        <v>159</v>
      </c>
      <c r="B13" s="50" t="s">
        <v>160</v>
      </c>
      <c r="C13" s="50" t="s">
        <v>161</v>
      </c>
    </row>
    <row r="15" spans="1:3" ht="15" customHeight="1" x14ac:dyDescent="0.25">
      <c r="A15" s="51" t="s">
        <v>162</v>
      </c>
    </row>
    <row r="16" spans="1:3" ht="15" customHeight="1" x14ac:dyDescent="0.25">
      <c r="A16" s="53" t="s">
        <v>163</v>
      </c>
      <c r="B16" s="53"/>
      <c r="C16" s="53"/>
    </row>
    <row r="17" spans="1:3" ht="15" customHeight="1" x14ac:dyDescent="0.25">
      <c r="A17" s="53" t="s">
        <v>164</v>
      </c>
      <c r="B17" s="53"/>
      <c r="C17" s="53"/>
    </row>
    <row r="18" spans="1:3" ht="15" customHeight="1" x14ac:dyDescent="0.25">
      <c r="A18" s="53" t="s">
        <v>165</v>
      </c>
      <c r="B18" s="53"/>
      <c r="C18" s="53"/>
    </row>
    <row r="19" spans="1:3" ht="15" customHeight="1" x14ac:dyDescent="0.25">
      <c r="A19" s="53" t="s">
        <v>166</v>
      </c>
      <c r="B19" s="53"/>
      <c r="C19" s="53"/>
    </row>
    <row r="20" spans="1:3" ht="15" customHeight="1" x14ac:dyDescent="0.25">
      <c r="A20" s="53" t="s">
        <v>167</v>
      </c>
      <c r="B20" s="53"/>
      <c r="C20" s="53"/>
    </row>
    <row r="21" spans="1:3" ht="15" customHeight="1" x14ac:dyDescent="0.25">
      <c r="A21" s="53" t="s">
        <v>168</v>
      </c>
      <c r="B21" s="53"/>
      <c r="C21" s="53"/>
    </row>
    <row r="22" spans="1:3" ht="15" customHeight="1" x14ac:dyDescent="0.25">
      <c r="A22" s="53" t="s">
        <v>169</v>
      </c>
      <c r="B22" s="53"/>
      <c r="C22" s="53"/>
    </row>
    <row r="23" spans="1:3" ht="15" customHeight="1" x14ac:dyDescent="0.25">
      <c r="A23" s="53" t="s">
        <v>170</v>
      </c>
      <c r="B23" s="53"/>
      <c r="C23" s="53"/>
    </row>
    <row r="24" spans="1:3" ht="15" customHeight="1" x14ac:dyDescent="0.25">
      <c r="A24" s="53" t="s">
        <v>171</v>
      </c>
      <c r="B24" s="53"/>
      <c r="C24" s="53"/>
    </row>
    <row r="25" spans="1:3" ht="15" customHeight="1" x14ac:dyDescent="0.25">
      <c r="A25" s="53" t="s">
        <v>172</v>
      </c>
      <c r="B25" s="53"/>
      <c r="C25" s="53"/>
    </row>
    <row r="27" spans="1:3" ht="15.75" x14ac:dyDescent="0.25">
      <c r="A27" s="54" t="s">
        <v>173</v>
      </c>
      <c r="B27" s="54"/>
      <c r="C27" s="54"/>
    </row>
    <row r="28" spans="1:3" ht="75" customHeight="1" x14ac:dyDescent="0.25">
      <c r="A28" s="55" t="s">
        <v>174</v>
      </c>
      <c r="B28" s="55"/>
      <c r="C28" s="55"/>
    </row>
    <row r="29" spans="1:3" ht="60" customHeight="1" x14ac:dyDescent="0.25">
      <c r="A29" s="55" t="s">
        <v>175</v>
      </c>
      <c r="B29" s="55"/>
      <c r="C29" s="55"/>
    </row>
    <row r="30" spans="1:3" ht="64.5" customHeight="1" x14ac:dyDescent="0.25">
      <c r="A30" s="9" t="s">
        <v>176</v>
      </c>
      <c r="B30" s="9"/>
      <c r="C30" s="9"/>
    </row>
    <row r="31" spans="1:3" ht="64.5" customHeight="1" x14ac:dyDescent="0.25">
      <c r="A31" s="55" t="s">
        <v>177</v>
      </c>
      <c r="B31" s="55"/>
      <c r="C31" s="55"/>
    </row>
    <row r="34" spans="1:3" ht="15.75" x14ac:dyDescent="0.25">
      <c r="A34" s="54" t="s">
        <v>178</v>
      </c>
      <c r="B34" s="54"/>
      <c r="C34" s="54"/>
    </row>
    <row r="35" spans="1:3" x14ac:dyDescent="0.25">
      <c r="A35" s="24" t="s">
        <v>179</v>
      </c>
      <c r="B35" s="5" t="s">
        <v>82</v>
      </c>
      <c r="C35" s="5"/>
    </row>
    <row r="36" spans="1:3" x14ac:dyDescent="0.25">
      <c r="A36" s="24" t="s">
        <v>180</v>
      </c>
      <c r="B36" s="56" t="s">
        <v>181</v>
      </c>
      <c r="C36" s="56"/>
    </row>
    <row r="37" spans="1:3" x14ac:dyDescent="0.25">
      <c r="A37" s="24" t="s">
        <v>182</v>
      </c>
      <c r="B37" s="56" t="s">
        <v>183</v>
      </c>
      <c r="C37" s="56"/>
    </row>
  </sheetData>
  <mergeCells count="21">
    <mergeCell ref="B37:C37"/>
    <mergeCell ref="A30:C30"/>
    <mergeCell ref="A31:C31"/>
    <mergeCell ref="A34:C34"/>
    <mergeCell ref="B35:C35"/>
    <mergeCell ref="B36:C36"/>
    <mergeCell ref="A24:C24"/>
    <mergeCell ref="A25:C25"/>
    <mergeCell ref="A27:C27"/>
    <mergeCell ref="A28:C28"/>
    <mergeCell ref="A29:C29"/>
    <mergeCell ref="A19:C19"/>
    <mergeCell ref="A20:C20"/>
    <mergeCell ref="A21:C21"/>
    <mergeCell ref="A22:C22"/>
    <mergeCell ref="A23:C23"/>
    <mergeCell ref="A1:C1"/>
    <mergeCell ref="A2:C2"/>
    <mergeCell ref="A16:C16"/>
    <mergeCell ref="A17:C17"/>
    <mergeCell ref="A18:C18"/>
  </mergeCells>
  <hyperlinks>
    <hyperlink ref="B35" r:id="rId1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1.Supuestos</vt:lpstr>
      <vt:lpstr>2.Tabla C (30 años)</vt:lpstr>
      <vt:lpstr>3.Comparación Tabla A</vt:lpstr>
      <vt:lpstr>4.Metodología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danilo daneri</cp:lastModifiedBy>
  <cp:revision>0</cp:revision>
  <dcterms:created xsi:type="dcterms:W3CDTF">2026-04-17T12:54:21Z</dcterms:created>
  <dcterms:modified xsi:type="dcterms:W3CDTF">2026-04-17T13:55:43Z</dcterms:modified>
  <dc:language>en-US</dc:language>
</cp:coreProperties>
</file>